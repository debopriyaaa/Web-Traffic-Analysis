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slicers/slicer3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 updateLinks="always" hidePivotFieldList="1" defaultThemeVersion="166925"/>
  <xr:revisionPtr revIDLastSave="0" documentId="8_{25F1042A-F459-433E-A17F-85E1338ACC70}" xr6:coauthVersionLast="47" xr6:coauthVersionMax="47" xr10:uidLastSave="{00000000-0000-0000-0000-000000000000}"/>
  <bookViews>
    <workbookView xWindow="240" yWindow="105" windowWidth="14805" windowHeight="8010" firstSheet="3" xr2:uid="{00000000-000D-0000-FFFF-FFFF00000000}"/>
  </bookViews>
  <sheets>
    <sheet name="dataset" sheetId="1" r:id="rId1"/>
    <sheet name="pivot tables" sheetId="3" r:id="rId2"/>
    <sheet name="bounce rate" sheetId="4" r:id="rId3"/>
    <sheet name="dashboard" sheetId="5" r:id="rId4"/>
  </sheets>
  <definedNames>
    <definedName name="_xlnm._FilterDatabase" localSheetId="0" hidden="1">dataset!$A$1:$K$43</definedName>
    <definedName name="Slicer_Device1">#N/A</definedName>
    <definedName name="Slicer_Month1">#N/A</definedName>
    <definedName name="Slicer_Source1">#N/A</definedName>
  </definedNames>
  <calcPr calcId="191028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5" l="1"/>
  <c r="F3" i="5"/>
  <c r="D3" i="5"/>
  <c r="B3" i="5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2" i="1"/>
</calcChain>
</file>

<file path=xl/sharedStrings.xml><?xml version="1.0" encoding="utf-8"?>
<sst xmlns="http://schemas.openxmlformats.org/spreadsheetml/2006/main" count="143" uniqueCount="30">
  <si>
    <t>Date</t>
  </si>
  <si>
    <t>Users</t>
  </si>
  <si>
    <t>Sessions</t>
  </si>
  <si>
    <t>Source</t>
  </si>
  <si>
    <t>Device</t>
  </si>
  <si>
    <t>Bounce rate</t>
  </si>
  <si>
    <t>Pages per session</t>
  </si>
  <si>
    <t>Conversions</t>
  </si>
  <si>
    <t>Month</t>
  </si>
  <si>
    <t>Month Number</t>
  </si>
  <si>
    <t>Conversion Rate</t>
  </si>
  <si>
    <t>Organic</t>
  </si>
  <si>
    <t>Mobile</t>
  </si>
  <si>
    <t>Desktop</t>
  </si>
  <si>
    <t>Direct</t>
  </si>
  <si>
    <t>Paid</t>
  </si>
  <si>
    <t>Social</t>
  </si>
  <si>
    <t>Sum of Users</t>
  </si>
  <si>
    <t>Jan</t>
  </si>
  <si>
    <t>Feb</t>
  </si>
  <si>
    <t>Mar</t>
  </si>
  <si>
    <t>Apr</t>
  </si>
  <si>
    <t>May</t>
  </si>
  <si>
    <t>Jun</t>
  </si>
  <si>
    <t>Grand Total</t>
  </si>
  <si>
    <t>Average of Conversions</t>
  </si>
  <si>
    <t>Average of Bounce rate</t>
  </si>
  <si>
    <t>Total Users</t>
  </si>
  <si>
    <t>Total Sessions</t>
  </si>
  <si>
    <t>Avg Bounce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</si>
</sst>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 applyAlignment="1">
      <alignment wrapText="1"/>
    </xf>
    <xf numFmtId="14" fontId="0" fillId="0" borderId="0" xfId="0" applyNumberFormat="1"/>
    <xf numFmtId="2" fontId="0" fillId="0" borderId="0" xfId="0" applyNumberFormat="1"/>
    <xf numFmtId="0" fontId="0" fillId="0" borderId="0" xfId="0" pivotButton="1"/>
    <xf numFmtId="2" fontId="1" fillId="0" borderId="0" xfId="0" applyNumberFormat="1" applyFont="1"/>
    <xf numFmtId="10" fontId="1" fillId="0" borderId="0" xfId="0" applyNumberFormat="1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[website traffic analysis 1.xlsx]pivot tables!PivotTable1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Traffic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tables'!$A$4:$A$10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'pivot tables'!$B$4:$B$10</c:f>
              <c:numCache>
                <c:formatCode>0.00</c:formatCode>
                <c:ptCount val="6"/>
                <c:pt idx="0">
                  <c:v>1535</c:v>
                </c:pt>
                <c:pt idx="1">
                  <c:v>3130</c:v>
                </c:pt>
                <c:pt idx="2">
                  <c:v>4250</c:v>
                </c:pt>
                <c:pt idx="3">
                  <c:v>5640</c:v>
                </c:pt>
                <c:pt idx="4">
                  <c:v>7150</c:v>
                </c:pt>
                <c:pt idx="5">
                  <c:v>9450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A3-4829-BAA8-9CE7ED9D9D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644999"/>
        <c:axId val="122651143"/>
      </c:lineChart>
      <c:catAx>
        <c:axId val="122644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51143"/>
        <c:crosses val="autoZero"/>
        <c:auto val="1"/>
        <c:lblAlgn val="ctr"/>
        <c:lblOffset val="100"/>
        <c:noMultiLvlLbl val="0"/>
      </c:catAx>
      <c:valAx>
        <c:axId val="122651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44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[website traffic analysis 1.xlsx]pivot tables!PivotTable7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Traffic by Source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tables'!$A$15:$A$19</c:f>
              <c:strCache>
                <c:ptCount val="4"/>
                <c:pt idx="0">
                  <c:v>Direct</c:v>
                </c:pt>
                <c:pt idx="1">
                  <c:v>Organic</c:v>
                </c:pt>
                <c:pt idx="2">
                  <c:v>Paid</c:v>
                </c:pt>
                <c:pt idx="3">
                  <c:v>Social</c:v>
                </c:pt>
              </c:strCache>
            </c:strRef>
          </c:cat>
          <c:val>
            <c:numRef>
              <c:f>'pivot tables'!$B$15:$B$19</c:f>
              <c:numCache>
                <c:formatCode>0.00</c:formatCode>
                <c:ptCount val="4"/>
                <c:pt idx="0">
                  <c:v>4545</c:v>
                </c:pt>
                <c:pt idx="1">
                  <c:v>8710</c:v>
                </c:pt>
                <c:pt idx="2">
                  <c:v>9210</c:v>
                </c:pt>
                <c:pt idx="3">
                  <c:v>8690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FF-4651-957C-55A3402335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619015"/>
        <c:axId val="160760327"/>
      </c:barChart>
      <c:catAx>
        <c:axId val="160619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760327"/>
        <c:crosses val="autoZero"/>
        <c:auto val="1"/>
        <c:lblAlgn val="ctr"/>
        <c:lblOffset val="100"/>
        <c:noMultiLvlLbl val="0"/>
      </c:catAx>
      <c:valAx>
        <c:axId val="160760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619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[website traffic analysis 1.xlsx]pivot tables!PivotTable8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Conversion Rate by Source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tables'!$B$25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tables'!$A$26:$A$30</c:f>
              <c:strCache>
                <c:ptCount val="4"/>
                <c:pt idx="0">
                  <c:v>Direct</c:v>
                </c:pt>
                <c:pt idx="1">
                  <c:v>Organic</c:v>
                </c:pt>
                <c:pt idx="2">
                  <c:v>Paid</c:v>
                </c:pt>
                <c:pt idx="3">
                  <c:v>Social</c:v>
                </c:pt>
              </c:strCache>
            </c:strRef>
          </c:cat>
          <c:val>
            <c:numRef>
              <c:f>'pivot tables'!$B$26:$B$30</c:f>
              <c:numCache>
                <c:formatCode>0.00</c:formatCode>
                <c:ptCount val="4"/>
                <c:pt idx="0">
                  <c:v>14</c:v>
                </c:pt>
                <c:pt idx="1">
                  <c:v>17.46153846153846</c:v>
                </c:pt>
                <c:pt idx="2">
                  <c:v>14.083333333333334</c:v>
                </c:pt>
                <c:pt idx="3">
                  <c:v>19.600000000000001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8A-4705-AE32-7CF022ED97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86593287"/>
        <c:axId val="560076295"/>
      </c:barChart>
      <c:catAx>
        <c:axId val="1386593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076295"/>
        <c:crosses val="autoZero"/>
        <c:auto val="1"/>
        <c:lblAlgn val="ctr"/>
        <c:lblOffset val="100"/>
        <c:noMultiLvlLbl val="0"/>
      </c:catAx>
      <c:valAx>
        <c:axId val="560076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6593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[website traffic analysis 1.xlsx]pivot tables!PivotTable9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tables'!$B$36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382-4734-85EE-3CC26C07A87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382-4734-85EE-3CC26C07A877}"/>
              </c:ext>
            </c:extLst>
          </c:dPt>
          <c:cat>
            <c:strRef>
              <c:f>'pivot tables'!$A$37:$A$39</c:f>
              <c:strCache>
                <c:ptCount val="2"/>
                <c:pt idx="0">
                  <c:v>Desktop</c:v>
                </c:pt>
                <c:pt idx="1">
                  <c:v>Mobile</c:v>
                </c:pt>
              </c:strCache>
            </c:strRef>
          </c:cat>
          <c:val>
            <c:numRef>
              <c:f>'pivot tables'!$B$37:$B$39</c:f>
              <c:numCache>
                <c:formatCode>0.00</c:formatCode>
                <c:ptCount val="2"/>
                <c:pt idx="0">
                  <c:v>13625</c:v>
                </c:pt>
                <c:pt idx="1">
                  <c:v>17530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382-4734-85EE-3CC26C07A8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276225</xdr:colOff>
      <xdr:row>6</xdr:row>
      <xdr:rowOff>38100</xdr:rowOff>
    </xdr:from>
    <xdr:to>
      <xdr:col>12</xdr:col>
      <xdr:colOff>276225</xdr:colOff>
      <xdr:row>20</xdr:row>
      <xdr:rowOff>9525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Source 1">
              <a:extLst>
                <a:ext uri="{FF2B5EF4-FFF2-40B4-BE49-F238E27FC236}">
                  <a16:creationId xmlns:a16="http://schemas.microsoft.com/office/drawing/2014/main" id="{9BBD1FA9-8538-308B-4A45-9307D7548C8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ourc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762750" y="118110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5</xdr:col>
      <xdr:colOff>533400</xdr:colOff>
      <xdr:row>6</xdr:row>
      <xdr:rowOff>19050</xdr:rowOff>
    </xdr:from>
    <xdr:to>
      <xdr:col>8</xdr:col>
      <xdr:colOff>533400</xdr:colOff>
      <xdr:row>19</xdr:row>
      <xdr:rowOff>180975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Device 1">
              <a:extLst>
                <a:ext uri="{FF2B5EF4-FFF2-40B4-BE49-F238E27FC236}">
                  <a16:creationId xmlns:a16="http://schemas.microsoft.com/office/drawing/2014/main" id="{B0EEFAFA-443F-AE40-00CA-7713A8694ED6}"/>
                </a:ext>
                <a:ext uri="{147F2762-F138-4A5C-976F-8EAC2B608ADB}">
                  <a16:predDERef xmlns:a16="http://schemas.microsoft.com/office/drawing/2014/main" pred="{9BBD1FA9-8538-308B-4A45-9307D7548C8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vic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581525" y="11620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 fLocksWithSheet="0"/>
  </xdr:twoCellAnchor>
  <xdr:twoCellAnchor editAs="oneCell">
    <xdr:from>
      <xdr:col>13</xdr:col>
      <xdr:colOff>552450</xdr:colOff>
      <xdr:row>6</xdr:row>
      <xdr:rowOff>85725</xdr:rowOff>
    </xdr:from>
    <xdr:to>
      <xdr:col>16</xdr:col>
      <xdr:colOff>552450</xdr:colOff>
      <xdr:row>20</xdr:row>
      <xdr:rowOff>57150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Month 1">
              <a:extLst>
                <a:ext uri="{FF2B5EF4-FFF2-40B4-BE49-F238E27FC236}">
                  <a16:creationId xmlns:a16="http://schemas.microsoft.com/office/drawing/2014/main" id="{55DAAB4E-6A97-3A6D-6E55-15A5DFC93BD4}"/>
                </a:ext>
                <a:ext uri="{147F2762-F138-4A5C-976F-8EAC2B608ADB}">
                  <a16:predDERef xmlns:a16="http://schemas.microsoft.com/office/drawing/2014/main" pred="{B0EEFAFA-443F-AE40-00CA-7713A8694ED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nth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477375" y="12287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8</xdr:row>
      <xdr:rowOff>19050</xdr:rowOff>
    </xdr:from>
    <xdr:to>
      <xdr:col>6</xdr:col>
      <xdr:colOff>400050</xdr:colOff>
      <xdr:row>21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Source">
              <a:extLst>
                <a:ext uri="{FF2B5EF4-FFF2-40B4-BE49-F238E27FC236}">
                  <a16:creationId xmlns:a16="http://schemas.microsoft.com/office/drawing/2014/main" id="{BCFD0564-62FC-61C5-6A09-3192FB5E07D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ourc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19400" y="1543050"/>
              <a:ext cx="2228850" cy="24574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8</xdr:col>
      <xdr:colOff>0</xdr:colOff>
      <xdr:row>7</xdr:row>
      <xdr:rowOff>180975</xdr:rowOff>
    </xdr:from>
    <xdr:to>
      <xdr:col>11</xdr:col>
      <xdr:colOff>381000</xdr:colOff>
      <xdr:row>21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Device">
              <a:extLst>
                <a:ext uri="{FF2B5EF4-FFF2-40B4-BE49-F238E27FC236}">
                  <a16:creationId xmlns:a16="http://schemas.microsoft.com/office/drawing/2014/main" id="{1C854F7A-E63A-FDE3-8FF5-45138234926B}"/>
                </a:ext>
                <a:ext uri="{147F2762-F138-4A5C-976F-8EAC2B608ADB}">
                  <a16:predDERef xmlns:a16="http://schemas.microsoft.com/office/drawing/2014/main" pred="{BCFD0564-62FC-61C5-6A09-3192FB5E07D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vic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705475" y="1514475"/>
              <a:ext cx="2209800" cy="24860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7</xdr:row>
      <xdr:rowOff>180975</xdr:rowOff>
    </xdr:from>
    <xdr:to>
      <xdr:col>1</xdr:col>
      <xdr:colOff>1447800</xdr:colOff>
      <xdr:row>21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Month">
              <a:extLst>
                <a:ext uri="{FF2B5EF4-FFF2-40B4-BE49-F238E27FC236}">
                  <a16:creationId xmlns:a16="http://schemas.microsoft.com/office/drawing/2014/main" id="{16BB2848-B56E-45DC-1330-CC9757996333}"/>
                </a:ext>
                <a:ext uri="{147F2762-F138-4A5C-976F-8EAC2B608ADB}">
                  <a16:predDERef xmlns:a16="http://schemas.microsoft.com/office/drawing/2014/main" pred="{1C854F7A-E63A-FDE3-8FF5-45138234926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nth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514475"/>
              <a:ext cx="2228850" cy="24860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 fLocksWithSheet="0"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1619250</xdr:colOff>
      <xdr:row>4</xdr:row>
      <xdr:rowOff>171450</xdr:rowOff>
    </xdr:from>
    <xdr:to>
      <xdr:col>8</xdr:col>
      <xdr:colOff>104775</xdr:colOff>
      <xdr:row>23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8EB5E0-DDBF-4615-B674-DFC358C293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1628775</xdr:colOff>
      <xdr:row>25</xdr:row>
      <xdr:rowOff>0</xdr:rowOff>
    </xdr:from>
    <xdr:to>
      <xdr:col>3</xdr:col>
      <xdr:colOff>190500</xdr:colOff>
      <xdr:row>35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F917066-BDAF-4D51-8BBB-4CDE0C51885A}"/>
            </a:ext>
            <a:ext uri="{147F2762-F138-4A5C-976F-8EAC2B608ADB}">
              <a16:predDERef xmlns:a16="http://schemas.microsoft.com/office/drawing/2014/main" pred="{C28EB5E0-DDBF-4615-B674-DFC358C293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1123950</xdr:colOff>
      <xdr:row>24</xdr:row>
      <xdr:rowOff>171450</xdr:rowOff>
    </xdr:from>
    <xdr:to>
      <xdr:col>5</xdr:col>
      <xdr:colOff>1276350</xdr:colOff>
      <xdr:row>35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DDAF028-2EDF-400D-970D-70A88F3078D1}"/>
            </a:ext>
            <a:ext uri="{147F2762-F138-4A5C-976F-8EAC2B608ADB}">
              <a16:predDERef xmlns:a16="http://schemas.microsoft.com/office/drawing/2014/main" pred="{CF917066-BDAF-4D51-8BBB-4CDE0C5188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438150</xdr:colOff>
      <xdr:row>24</xdr:row>
      <xdr:rowOff>171450</xdr:rowOff>
    </xdr:from>
    <xdr:to>
      <xdr:col>8</xdr:col>
      <xdr:colOff>104775</xdr:colOff>
      <xdr:row>34</xdr:row>
      <xdr:rowOff>180975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A1B1012-ACA7-41BF-A694-6600204F1C31}"/>
            </a:ext>
            <a:ext uri="{147F2762-F138-4A5C-976F-8EAC2B608ADB}">
              <a16:predDERef xmlns:a16="http://schemas.microsoft.com/office/drawing/2014/main" pred="{2DDAF028-2EDF-400D-970D-70A88F3078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9</xdr:col>
      <xdr:colOff>9525</xdr:colOff>
      <xdr:row>23</xdr:row>
      <xdr:rowOff>0</xdr:rowOff>
    </xdr:from>
    <xdr:to>
      <xdr:col>11</xdr:col>
      <xdr:colOff>200025</xdr:colOff>
      <xdr:row>35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3" name="Source 2">
              <a:extLst>
                <a:ext uri="{FF2B5EF4-FFF2-40B4-BE49-F238E27FC236}">
                  <a16:creationId xmlns:a16="http://schemas.microsoft.com/office/drawing/2014/main" id="{4F11F96A-FE6E-C6E9-AD48-3E5236DCD022}"/>
                </a:ext>
                <a:ext uri="{147F2762-F138-4A5C-976F-8EAC2B608ADB}">
                  <a16:predDERef xmlns:a16="http://schemas.microsoft.com/office/drawing/2014/main" pred="{CA1B1012-ACA7-41BF-A694-6600204F1C3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ource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96575" y="4667250"/>
              <a:ext cx="1828800" cy="2286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8</xdr:col>
      <xdr:colOff>590550</xdr:colOff>
      <xdr:row>11</xdr:row>
      <xdr:rowOff>0</xdr:rowOff>
    </xdr:from>
    <xdr:to>
      <xdr:col>11</xdr:col>
      <xdr:colOff>171450</xdr:colOff>
      <xdr:row>21</xdr:row>
      <xdr:rowOff>76200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4" name="Device 2">
              <a:extLst>
                <a:ext uri="{FF2B5EF4-FFF2-40B4-BE49-F238E27FC236}">
                  <a16:creationId xmlns:a16="http://schemas.microsoft.com/office/drawing/2014/main" id="{C1866F6E-8AED-0C93-5132-7729A20FB99C}"/>
                </a:ext>
                <a:ext uri="{147F2762-F138-4A5C-976F-8EAC2B608ADB}">
                  <a16:predDERef xmlns:a16="http://schemas.microsoft.com/office/drawing/2014/main" pred="{4F11F96A-FE6E-C6E9-AD48-3E5236DCD02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vice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68000" y="2381250"/>
              <a:ext cx="1828800" cy="1981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8</xdr:col>
      <xdr:colOff>571500</xdr:colOff>
      <xdr:row>0</xdr:row>
      <xdr:rowOff>152400</xdr:rowOff>
    </xdr:from>
    <xdr:to>
      <xdr:col>11</xdr:col>
      <xdr:colOff>152400</xdr:colOff>
      <xdr:row>9</xdr:row>
      <xdr:rowOff>104775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5" name="Month 2">
              <a:extLst>
                <a:ext uri="{FF2B5EF4-FFF2-40B4-BE49-F238E27FC236}">
                  <a16:creationId xmlns:a16="http://schemas.microsoft.com/office/drawing/2014/main" id="{66D570A2-8B6C-FF2D-C70D-4E8EAFFE1629}"/>
                </a:ext>
                <a:ext uri="{147F2762-F138-4A5C-976F-8EAC2B608ADB}">
                  <a16:predDERef xmlns:a16="http://schemas.microsoft.com/office/drawing/2014/main" pred="{C1866F6E-8AED-0C93-5132-7729A20FB99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nth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48950" y="152400"/>
              <a:ext cx="1828800" cy="19526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11</xdr:col>
      <xdr:colOff>447675</xdr:colOff>
      <xdr:row>0</xdr:row>
      <xdr:rowOff>161925</xdr:rowOff>
    </xdr:from>
    <xdr:to>
      <xdr:col>15</xdr:col>
      <xdr:colOff>66675</xdr:colOff>
      <xdr:row>21</xdr:row>
      <xdr:rowOff>76200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17B7D739-3E40-1775-0130-0174559A24BF}"/>
            </a:ext>
            <a:ext uri="{147F2762-F138-4A5C-976F-8EAC2B608ADB}">
              <a16:predDERef xmlns:a16="http://schemas.microsoft.com/office/drawing/2014/main" pred="{66D570A2-8B6C-FF2D-C70D-4E8EAFFE1629}"/>
            </a:ext>
          </a:extLst>
        </xdr:cNvPr>
        <xdr:cNvSpPr txBox="1"/>
      </xdr:nvSpPr>
      <xdr:spPr>
        <a:xfrm>
          <a:off x="12734925" y="161925"/>
          <a:ext cx="2057400" cy="42005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200" b="1">
              <a:latin typeface="+mn-lt"/>
              <a:ea typeface="+mn-lt"/>
              <a:cs typeface="+mn-lt"/>
            </a:rPr>
            <a:t>Insights :</a:t>
          </a:r>
        </a:p>
        <a:p>
          <a:pPr marL="0" indent="0" algn="l"/>
          <a:endParaRPr lang="en-US" sz="1200">
            <a:latin typeface="+mn-lt"/>
            <a:ea typeface="+mn-lt"/>
            <a:cs typeface="+mn-lt"/>
          </a:endParaRPr>
        </a:p>
        <a:p>
          <a:pPr marL="0" indent="0" algn="l"/>
          <a:r>
            <a:rPr lang="en-US" sz="1200">
              <a:latin typeface="+mn-lt"/>
              <a:ea typeface="+mn-lt"/>
              <a:cs typeface="+mn-lt"/>
            </a:rPr>
            <a:t>- Traffic is increasing steadily</a:t>
          </a:r>
        </a:p>
        <a:p>
          <a:pPr marL="0" indent="0" algn="l"/>
          <a:r>
            <a:rPr lang="en-US" sz="1200">
              <a:latin typeface="+mn-lt"/>
              <a:ea typeface="+mn-lt"/>
              <a:cs typeface="+mn-lt"/>
            </a:rPr>
            <a:t>- Organic source performs         best</a:t>
          </a:r>
        </a:p>
        <a:p>
          <a:pPr marL="0" indent="0" algn="l"/>
          <a:r>
            <a:rPr lang="en-US" sz="1200">
              <a:latin typeface="+mn-lt"/>
              <a:ea typeface="+mn-lt"/>
              <a:cs typeface="+mn-lt"/>
            </a:rPr>
            <a:t>- Paid traffic has lower                 conversion</a:t>
          </a:r>
        </a:p>
        <a:p>
          <a:pPr marL="0" indent="0" algn="l"/>
          <a:r>
            <a:rPr lang="en-US" sz="1200">
              <a:latin typeface="+mn-lt"/>
              <a:ea typeface="+mn-lt"/>
              <a:cs typeface="+mn-lt"/>
            </a:rPr>
            <a:t>- Mobile users show higher       bounce rate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15.981171874999" createdVersion="8" refreshedVersion="8" minRefreshableVersion="3" recordCount="42" xr:uid="{F9E5512D-CF2E-4F7A-AD5B-CB590C0CFDC3}">
  <cacheSource type="worksheet">
    <worksheetSource ref="A1:K43" sheet="dataset"/>
  </cacheSource>
  <cacheFields count="11">
    <cacheField name="Date" numFmtId="14">
      <sharedItems containsSemiMixedTypes="0" containsNonDate="0" containsDate="1" containsString="0" minDate="2024-01-01T00:00:00" maxDate="2024-07-01T00:00:00"/>
    </cacheField>
    <cacheField name="Users" numFmtId="2">
      <sharedItems containsSemiMixedTypes="0" containsString="0" containsNumber="1" containsInteger="1" minValue="120" maxValue="1500"/>
    </cacheField>
    <cacheField name="Sessions" numFmtId="2">
      <sharedItems containsSemiMixedTypes="0" containsString="0" containsNumber="1" containsInteger="1" minValue="150" maxValue="1600"/>
    </cacheField>
    <cacheField name="Source" numFmtId="0">
      <sharedItems count="4">
        <s v="Organic"/>
        <s v="Direct"/>
        <s v="Paid"/>
        <s v="Social"/>
      </sharedItems>
    </cacheField>
    <cacheField name="Device" numFmtId="0">
      <sharedItems count="2">
        <s v="Mobile"/>
        <s v="Desktop"/>
      </sharedItems>
    </cacheField>
    <cacheField name="Bounce rate" numFmtId="2">
      <sharedItems containsSemiMixedTypes="0" containsString="0" containsNumber="1" containsInteger="1" minValue="56" maxValue="78"/>
    </cacheField>
    <cacheField name="Pages per session" numFmtId="2">
      <sharedItems containsSemiMixedTypes="0" containsString="0" containsNumber="1" minValue="1.3" maxValue="3.2"/>
    </cacheField>
    <cacheField name="Conversions" numFmtId="2">
      <sharedItems containsSemiMixedTypes="0" containsString="0" containsNumber="1" containsInteger="1" minValue="5" maxValue="30"/>
    </cacheField>
    <cacheField name="Month" numFmtId="0">
      <sharedItems count="6">
        <s v="Jan"/>
        <s v="Feb"/>
        <s v="Mar"/>
        <s v="Apr"/>
        <s v="May"/>
        <s v="Jun"/>
      </sharedItems>
    </cacheField>
    <cacheField name="Month Number" numFmtId="0">
      <sharedItems containsSemiMixedTypes="0" containsString="0" containsNumber="1" containsInteger="1" minValue="1" maxValue="6"/>
    </cacheField>
    <cacheField name="Conversion Rate" numFmtId="0">
      <sharedItems containsSemiMixedTypes="0" containsString="0" containsNumber="1" minValue="1.4814814814814815E-2" maxValue="4.2857142857142858E-2"/>
    </cacheField>
  </cacheFields>
  <extLst>
    <ext xmlns:x14="http://schemas.microsoft.com/office/spreadsheetml/2009/9/main" uri="{725AE2AE-9491-48be-B2B4-4EB974FC3084}">
      <x14:pivotCacheDefinition pivotCacheId="108946082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">
  <r>
    <d v="2024-01-01T00:00:00"/>
    <n v="120"/>
    <n v="150"/>
    <x v="0"/>
    <x v="0"/>
    <n v="65"/>
    <n v="2.1"/>
    <n v="5"/>
    <x v="0"/>
    <n v="1"/>
    <n v="3.3333333333333333E-2"/>
  </r>
  <r>
    <d v="2024-01-05T00:00:00"/>
    <n v="170"/>
    <n v="210"/>
    <x v="0"/>
    <x v="1"/>
    <n v="60"/>
    <n v="2.5"/>
    <n v="8"/>
    <x v="0"/>
    <n v="1"/>
    <n v="3.8095238095238099E-2"/>
  </r>
  <r>
    <d v="2024-01-10T00:00:00"/>
    <n v="140"/>
    <n v="170"/>
    <x v="1"/>
    <x v="0"/>
    <n v="57"/>
    <n v="3"/>
    <n v="6"/>
    <x v="0"/>
    <n v="1"/>
    <n v="3.5294117647058823E-2"/>
  </r>
  <r>
    <d v="2024-01-15T00:00:00"/>
    <n v="175"/>
    <n v="210"/>
    <x v="1"/>
    <x v="1"/>
    <n v="56"/>
    <n v="3.1"/>
    <n v="9"/>
    <x v="0"/>
    <n v="1"/>
    <n v="4.2857142857142858E-2"/>
  </r>
  <r>
    <d v="2024-01-20T00:00:00"/>
    <n v="270"/>
    <n v="320"/>
    <x v="0"/>
    <x v="0"/>
    <n v="65"/>
    <n v="2.1"/>
    <n v="12"/>
    <x v="0"/>
    <n v="1"/>
    <n v="3.7499999999999999E-2"/>
  </r>
  <r>
    <d v="2024-01-25T00:00:00"/>
    <n v="310"/>
    <n v="370"/>
    <x v="2"/>
    <x v="1"/>
    <n v="76"/>
    <n v="1.4"/>
    <n v="7"/>
    <x v="0"/>
    <n v="1"/>
    <n v="1.891891891891892E-2"/>
  </r>
  <r>
    <d v="2024-01-30T00:00:00"/>
    <n v="350"/>
    <n v="410"/>
    <x v="2"/>
    <x v="0"/>
    <n v="75"/>
    <n v="1.5"/>
    <n v="9"/>
    <x v="0"/>
    <n v="1"/>
    <n v="2.1951219512195121E-2"/>
  </r>
  <r>
    <d v="2024-02-01T00:00:00"/>
    <n v="360"/>
    <n v="420"/>
    <x v="3"/>
    <x v="0"/>
    <n v="62"/>
    <n v="2.5"/>
    <n v="12"/>
    <x v="1"/>
    <n v="2"/>
    <n v="2.8571428571428571E-2"/>
  </r>
  <r>
    <d v="2024-02-05T00:00:00"/>
    <n v="390"/>
    <n v="450"/>
    <x v="0"/>
    <x v="1"/>
    <n v="65"/>
    <n v="2.2000000000000002"/>
    <n v="14"/>
    <x v="1"/>
    <n v="2"/>
    <n v="3.111111111111111E-2"/>
  </r>
  <r>
    <d v="2024-02-10T00:00:00"/>
    <n v="460"/>
    <n v="530"/>
    <x v="3"/>
    <x v="1"/>
    <n v="61"/>
    <n v="2.6"/>
    <n v="14"/>
    <x v="1"/>
    <n v="2"/>
    <n v="2.6415094339622643E-2"/>
  </r>
  <r>
    <d v="2024-02-15T00:00:00"/>
    <n v="420"/>
    <n v="500"/>
    <x v="2"/>
    <x v="0"/>
    <n v="76"/>
    <n v="1.6"/>
    <n v="10"/>
    <x v="1"/>
    <n v="2"/>
    <n v="0.02"/>
  </r>
  <r>
    <d v="2024-02-20T00:00:00"/>
    <n v="480"/>
    <n v="550"/>
    <x v="0"/>
    <x v="0"/>
    <n v="63"/>
    <n v="2.2999999999999998"/>
    <n v="15"/>
    <x v="1"/>
    <n v="2"/>
    <n v="2.7272727272727271E-2"/>
  </r>
  <r>
    <d v="2024-02-25T00:00:00"/>
    <n v="500"/>
    <n v="580"/>
    <x v="1"/>
    <x v="1"/>
    <n v="59"/>
    <n v="3"/>
    <n v="13"/>
    <x v="1"/>
    <n v="2"/>
    <n v="2.2413793103448276E-2"/>
  </r>
  <r>
    <d v="2024-02-28T00:00:00"/>
    <n v="520"/>
    <n v="600"/>
    <x v="2"/>
    <x v="1"/>
    <n v="77"/>
    <n v="1.4"/>
    <n v="11"/>
    <x v="1"/>
    <n v="2"/>
    <n v="1.8333333333333333E-2"/>
  </r>
  <r>
    <d v="2024-03-01T00:00:00"/>
    <n v="540"/>
    <n v="620"/>
    <x v="0"/>
    <x v="0"/>
    <n v="64"/>
    <n v="2.2000000000000002"/>
    <n v="16"/>
    <x v="2"/>
    <n v="3"/>
    <n v="2.5806451612903226E-2"/>
  </r>
  <r>
    <d v="2024-03-05T00:00:00"/>
    <n v="560"/>
    <n v="650"/>
    <x v="3"/>
    <x v="1"/>
    <n v="60"/>
    <n v="2.7"/>
    <n v="15"/>
    <x v="2"/>
    <n v="3"/>
    <n v="2.3076923076923078E-2"/>
  </r>
  <r>
    <d v="2024-03-10T00:00:00"/>
    <n v="600"/>
    <n v="700"/>
    <x v="2"/>
    <x v="0"/>
    <n v="75"/>
    <n v="1.5"/>
    <n v="12"/>
    <x v="2"/>
    <n v="3"/>
    <n v="1.7142857142857144E-2"/>
  </r>
  <r>
    <d v="2024-03-15T00:00:00"/>
    <n v="580"/>
    <n v="680"/>
    <x v="1"/>
    <x v="1"/>
    <n v="58"/>
    <n v="3.1"/>
    <n v="14"/>
    <x v="2"/>
    <n v="3"/>
    <n v="2.0588235294117647E-2"/>
  </r>
  <r>
    <d v="2024-03-20T00:00:00"/>
    <n v="620"/>
    <n v="720"/>
    <x v="0"/>
    <x v="0"/>
    <n v="63"/>
    <n v="2.4"/>
    <n v="18"/>
    <x v="2"/>
    <n v="3"/>
    <n v="2.5000000000000001E-2"/>
  </r>
  <r>
    <d v="2024-03-25T00:00:00"/>
    <n v="650"/>
    <n v="750"/>
    <x v="2"/>
    <x v="1"/>
    <n v="76"/>
    <n v="1.4"/>
    <n v="13"/>
    <x v="2"/>
    <n v="3"/>
    <n v="1.7333333333333333E-2"/>
  </r>
  <r>
    <d v="2024-03-30T00:00:00"/>
    <n v="700"/>
    <n v="800"/>
    <x v="3"/>
    <x v="0"/>
    <n v="61"/>
    <n v="2.6"/>
    <n v="17"/>
    <x v="2"/>
    <n v="3"/>
    <n v="2.1250000000000002E-2"/>
  </r>
  <r>
    <d v="2024-04-01T00:00:00"/>
    <n v="720"/>
    <n v="820"/>
    <x v="0"/>
    <x v="1"/>
    <n v="62"/>
    <n v="2.5"/>
    <n v="19"/>
    <x v="3"/>
    <n v="4"/>
    <n v="2.3170731707317073E-2"/>
  </r>
  <r>
    <d v="2024-04-05T00:00:00"/>
    <n v="750"/>
    <n v="850"/>
    <x v="2"/>
    <x v="0"/>
    <n v="77"/>
    <n v="1.3"/>
    <n v="14"/>
    <x v="3"/>
    <n v="4"/>
    <n v="1.6470588235294119E-2"/>
  </r>
  <r>
    <d v="2024-04-10T00:00:00"/>
    <n v="780"/>
    <n v="880"/>
    <x v="3"/>
    <x v="1"/>
    <n v="60"/>
    <n v="2.7"/>
    <n v="18"/>
    <x v="3"/>
    <n v="4"/>
    <n v="2.0454545454545454E-2"/>
  </r>
  <r>
    <d v="2024-04-15T00:00:00"/>
    <n v="800"/>
    <n v="900"/>
    <x v="1"/>
    <x v="0"/>
    <n v="57"/>
    <n v="3.2"/>
    <n v="16"/>
    <x v="3"/>
    <n v="4"/>
    <n v="1.7777777777777778E-2"/>
  </r>
  <r>
    <d v="2024-04-20T00:00:00"/>
    <n v="830"/>
    <n v="930"/>
    <x v="0"/>
    <x v="0"/>
    <n v="64"/>
    <n v="2.2999999999999998"/>
    <n v="20"/>
    <x v="3"/>
    <n v="4"/>
    <n v="2.1505376344086023E-2"/>
  </r>
  <r>
    <d v="2024-04-25T00:00:00"/>
    <n v="860"/>
    <n v="960"/>
    <x v="2"/>
    <x v="1"/>
    <n v="75"/>
    <n v="1.5"/>
    <n v="15"/>
    <x v="3"/>
    <n v="4"/>
    <n v="1.5625E-2"/>
  </r>
  <r>
    <d v="2024-04-30T00:00:00"/>
    <n v="900"/>
    <n v="1000"/>
    <x v="3"/>
    <x v="0"/>
    <n v="62"/>
    <n v="2.6"/>
    <n v="21"/>
    <x v="3"/>
    <n v="4"/>
    <n v="2.1000000000000001E-2"/>
  </r>
  <r>
    <d v="2024-05-01T00:00:00"/>
    <n v="920"/>
    <n v="1020"/>
    <x v="0"/>
    <x v="1"/>
    <n v="63"/>
    <n v="2.4"/>
    <n v="22"/>
    <x v="4"/>
    <n v="5"/>
    <n v="2.1568627450980392E-2"/>
  </r>
  <r>
    <d v="2024-05-05T00:00:00"/>
    <n v="950"/>
    <n v="1050"/>
    <x v="2"/>
    <x v="0"/>
    <n v="78"/>
    <n v="1.3"/>
    <n v="16"/>
    <x v="4"/>
    <n v="5"/>
    <n v="1.5238095238095238E-2"/>
  </r>
  <r>
    <d v="2024-05-10T00:00:00"/>
    <n v="980"/>
    <n v="1080"/>
    <x v="3"/>
    <x v="1"/>
    <n v="61"/>
    <n v="2.8"/>
    <n v="20"/>
    <x v="4"/>
    <n v="5"/>
    <n v="1.8518518518518517E-2"/>
  </r>
  <r>
    <d v="2024-05-15T00:00:00"/>
    <n v="1000"/>
    <n v="1100"/>
    <x v="1"/>
    <x v="0"/>
    <n v="58"/>
    <n v="3.1"/>
    <n v="18"/>
    <x v="4"/>
    <n v="5"/>
    <n v="1.6363636363636365E-2"/>
  </r>
  <r>
    <d v="2024-05-20T00:00:00"/>
    <n v="1050"/>
    <n v="1150"/>
    <x v="0"/>
    <x v="0"/>
    <n v="64"/>
    <n v="2.2999999999999998"/>
    <n v="24"/>
    <x v="4"/>
    <n v="5"/>
    <n v="2.0869565217391306E-2"/>
  </r>
  <r>
    <d v="2024-05-25T00:00:00"/>
    <n v="1100"/>
    <n v="1200"/>
    <x v="2"/>
    <x v="1"/>
    <n v="76"/>
    <n v="1.4"/>
    <n v="19"/>
    <x v="4"/>
    <n v="5"/>
    <n v="1.5833333333333335E-2"/>
  </r>
  <r>
    <d v="2024-05-30T00:00:00"/>
    <n v="1150"/>
    <n v="1250"/>
    <x v="3"/>
    <x v="0"/>
    <n v="62"/>
    <n v="2.6"/>
    <n v="25"/>
    <x v="4"/>
    <n v="5"/>
    <n v="0.02"/>
  </r>
  <r>
    <d v="2024-06-01T00:00:00"/>
    <n v="1200"/>
    <n v="1300"/>
    <x v="0"/>
    <x v="1"/>
    <n v="63"/>
    <n v="2.5"/>
    <n v="26"/>
    <x v="5"/>
    <n v="6"/>
    <n v="0.02"/>
  </r>
  <r>
    <d v="2024-06-05T00:00:00"/>
    <n v="1250"/>
    <n v="1350"/>
    <x v="2"/>
    <x v="0"/>
    <n v="77"/>
    <n v="1.3"/>
    <n v="20"/>
    <x v="5"/>
    <n v="6"/>
    <n v="1.4814814814814815E-2"/>
  </r>
  <r>
    <d v="2024-06-10T00:00:00"/>
    <n v="1300"/>
    <n v="1400"/>
    <x v="3"/>
    <x v="1"/>
    <n v="60"/>
    <n v="2.7"/>
    <n v="24"/>
    <x v="5"/>
    <n v="6"/>
    <n v="1.7142857142857144E-2"/>
  </r>
  <r>
    <d v="2024-06-15T00:00:00"/>
    <n v="1350"/>
    <n v="1450"/>
    <x v="1"/>
    <x v="0"/>
    <n v="57"/>
    <n v="3.2"/>
    <n v="22"/>
    <x v="5"/>
    <n v="6"/>
    <n v="1.5172413793103448E-2"/>
  </r>
  <r>
    <d v="2024-06-20T00:00:00"/>
    <n v="1400"/>
    <n v="1500"/>
    <x v="0"/>
    <x v="0"/>
    <n v="65"/>
    <n v="2.2999999999999998"/>
    <n v="28"/>
    <x v="5"/>
    <n v="6"/>
    <n v="1.8666666666666668E-2"/>
  </r>
  <r>
    <d v="2024-06-25T00:00:00"/>
    <n v="1450"/>
    <n v="1550"/>
    <x v="2"/>
    <x v="1"/>
    <n v="76"/>
    <n v="1.4"/>
    <n v="23"/>
    <x v="5"/>
    <n v="6"/>
    <n v="1.4838709677419355E-2"/>
  </r>
  <r>
    <d v="2024-06-30T00:00:00"/>
    <n v="1500"/>
    <n v="1600"/>
    <x v="3"/>
    <x v="0"/>
    <n v="62"/>
    <n v="2.6"/>
    <n v="30"/>
    <x v="5"/>
    <n v="6"/>
    <n v="1.8749999999999999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A947DB-868A-43B3-B1EA-4A3D1EAC02F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10" firstHeaderRow="1" firstDataRow="1" firstDataCol="1"/>
  <pivotFields count="11">
    <pivotField compact="0" numFmtId="14" outline="0" showAll="0"/>
    <pivotField dataField="1" compact="0" numFmtId="2" outline="0" showAll="0"/>
    <pivotField compact="0" numFmtId="2" outline="0" showAll="0"/>
    <pivotField compact="0" outline="0" showAll="0">
      <items count="5">
        <item x="1"/>
        <item x="0"/>
        <item x="2"/>
        <item x="3"/>
        <item t="default"/>
      </items>
    </pivotField>
    <pivotField compact="0" outline="0" showAll="0">
      <items count="3">
        <item x="1"/>
        <item x="0"/>
        <item t="default"/>
      </items>
    </pivotField>
    <pivotField compact="0" numFmtId="2" outline="0" showAll="0"/>
    <pivotField compact="0" numFmtId="2" outline="0" showAll="0"/>
    <pivotField compact="0" numFmtId="2" outline="0" showAll="0"/>
    <pivotField axis="axisRow" compact="0" outline="0" showAll="0">
      <items count="7">
        <item x="0"/>
        <item x="1"/>
        <item x="2"/>
        <item x="3"/>
        <item x="4"/>
        <item x="5"/>
        <item t="default"/>
      </items>
    </pivotField>
    <pivotField compact="0" outline="0" showAll="0"/>
    <pivotField compact="0" outline="0" showAll="0"/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Users" fld="1" baseField="0" baseItem="0" numFmtId="2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8F7F91-F711-42DB-ADED-020ECF7A8AB0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9">
  <location ref="A36:B39" firstHeaderRow="1" firstDataRow="1" firstDataCol="1"/>
  <pivotFields count="11">
    <pivotField compact="0" numFmtId="14" outline="0" showAll="0"/>
    <pivotField dataField="1" compact="0" numFmtId="2" outline="0" showAll="0"/>
    <pivotField compact="0" numFmtId="2" outline="0" showAll="0"/>
    <pivotField compact="0" outline="0" showAll="0">
      <items count="5">
        <item x="1"/>
        <item x="0"/>
        <item x="2"/>
        <item x="3"/>
        <item t="default"/>
      </items>
    </pivotField>
    <pivotField axis="axisRow" compact="0" outline="0" showAll="0">
      <items count="3">
        <item x="1"/>
        <item x="0"/>
        <item t="default"/>
      </items>
    </pivotField>
    <pivotField compact="0" numFmtId="2" outline="0" showAll="0"/>
    <pivotField compact="0" numFmtId="2" outline="0" showAll="0"/>
    <pivotField compact="0" numFmtId="2" outline="0" showAll="0"/>
    <pivotField compact="0" outline="0" showAll="0">
      <items count="7">
        <item x="0"/>
        <item x="1"/>
        <item x="2"/>
        <item x="3"/>
        <item x="4"/>
        <item x="5"/>
        <item t="default"/>
      </items>
    </pivotField>
    <pivotField compact="0" outline="0" showAll="0"/>
    <pivotField compact="0" outline="0"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Sum of Users" fld="1" baseField="0" baseItem="0" numFmtId="2"/>
  </dataFields>
  <chartFormats count="33"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3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4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3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5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5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7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7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1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1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3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3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5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5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7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7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328E6A-4E92-449F-9494-FBA81AF69003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25:B30" firstHeaderRow="1" firstDataRow="1" firstDataCol="1"/>
  <pivotFields count="11">
    <pivotField compact="0" numFmtId="14" outline="0" showAll="0"/>
    <pivotField compact="0" numFmtId="2" outline="0" showAll="0"/>
    <pivotField compact="0" numFmtId="2" outline="0" showAll="0"/>
    <pivotField axis="axisRow" compact="0" outline="0" showAll="0">
      <items count="5">
        <item x="1"/>
        <item x="0"/>
        <item x="2"/>
        <item x="3"/>
        <item t="default"/>
      </items>
    </pivotField>
    <pivotField compact="0" outline="0" showAll="0">
      <items count="3">
        <item x="1"/>
        <item x="0"/>
        <item t="default"/>
      </items>
    </pivotField>
    <pivotField compact="0" numFmtId="2" outline="0" showAll="0"/>
    <pivotField compact="0" numFmtId="2" outline="0" showAll="0"/>
    <pivotField dataField="1" compact="0" numFmtId="2" outline="0" showAll="0"/>
    <pivotField compact="0" outline="0" showAll="0">
      <items count="7">
        <item x="0"/>
        <item x="1"/>
        <item x="2"/>
        <item x="3"/>
        <item x="4"/>
        <item x="5"/>
        <item t="default"/>
      </items>
    </pivotField>
    <pivotField compact="0" outline="0" showAll="0"/>
    <pivotField compact="0" outline="0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Conversions" fld="7" subtotal="average" baseField="0" baseItem="0" numFmtId="2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CD688E-3128-4A9B-B3BB-21B7D8D1A1A1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14:B19" firstHeaderRow="1" firstDataRow="1" firstDataCol="1"/>
  <pivotFields count="11">
    <pivotField compact="0" numFmtId="14" outline="0" showAll="0"/>
    <pivotField dataField="1" compact="0" numFmtId="2" outline="0" showAll="0"/>
    <pivotField compact="0" numFmtId="2" outline="0" showAll="0"/>
    <pivotField axis="axisRow" compact="0" outline="0" showAll="0">
      <items count="5">
        <item x="1"/>
        <item x="0"/>
        <item x="2"/>
        <item x="3"/>
        <item t="default"/>
      </items>
    </pivotField>
    <pivotField compact="0" outline="0" showAll="0">
      <items count="3">
        <item x="1"/>
        <item x="0"/>
        <item t="default"/>
      </items>
    </pivotField>
    <pivotField compact="0" numFmtId="2" outline="0" showAll="0"/>
    <pivotField compact="0" numFmtId="2" outline="0" showAll="0"/>
    <pivotField compact="0" numFmtId="2" outline="0" showAll="0"/>
    <pivotField compact="0" outline="0" showAll="0">
      <items count="7">
        <item x="0"/>
        <item x="1"/>
        <item x="2"/>
        <item x="3"/>
        <item x="4"/>
        <item x="5"/>
        <item t="default"/>
      </items>
    </pivotField>
    <pivotField compact="0" outline="0" showAll="0"/>
    <pivotField compact="0" outline="0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Users" fld="1" baseField="0" baseItem="0" numFmtId="2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56A552-1797-4D38-B9A3-5D12A8F24CF9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:B6" firstHeaderRow="1" firstDataRow="1" firstDataCol="1"/>
  <pivotFields count="11">
    <pivotField compact="0" numFmtId="14" outline="0" showAll="0"/>
    <pivotField compact="0" numFmtId="2" outline="0" showAll="0"/>
    <pivotField compact="0" numFmtId="2" outline="0" showAll="0"/>
    <pivotField axis="axisRow" compact="0" outline="0" showAll="0">
      <items count="5">
        <item x="1"/>
        <item x="0"/>
        <item x="2"/>
        <item x="3"/>
        <item t="default"/>
      </items>
    </pivotField>
    <pivotField compact="0" outline="0" showAll="0">
      <items count="3">
        <item x="1"/>
        <item x="0"/>
        <item t="default"/>
      </items>
    </pivotField>
    <pivotField dataField="1" compact="0" numFmtId="2" outline="0" showAll="0"/>
    <pivotField compact="0" numFmtId="2" outline="0" showAll="0"/>
    <pivotField compact="0" numFmtId="2" outline="0" showAll="0"/>
    <pivotField compact="0" outline="0" showAll="0">
      <items count="7">
        <item x="0"/>
        <item x="1"/>
        <item x="2"/>
        <item x="3"/>
        <item x="4"/>
        <item x="5"/>
        <item t="default"/>
      </items>
    </pivotField>
    <pivotField compact="0" outline="0" showAll="0"/>
    <pivotField compact="0" outline="0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Bounce rate" fld="5" subtotal="average" baseField="0" baseItem="0" numFmtId="2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C6DD49-219E-4844-A2B4-A58F14EB1456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J2:K9" firstHeaderRow="1" firstDataRow="1" firstDataCol="1"/>
  <pivotFields count="11">
    <pivotField compact="0" numFmtId="14" outline="0" showAll="0"/>
    <pivotField dataField="1" compact="0" numFmtId="2" outline="0" showAll="0"/>
    <pivotField compact="0" numFmtId="2" outline="0" showAll="0"/>
    <pivotField compact="0" outline="0" showAll="0">
      <items count="5">
        <item x="1"/>
        <item x="0"/>
        <item x="2"/>
        <item x="3"/>
        <item t="default"/>
      </items>
    </pivotField>
    <pivotField compact="0" outline="0" showAll="0">
      <items count="3">
        <item x="1"/>
        <item x="0"/>
        <item t="default"/>
      </items>
    </pivotField>
    <pivotField compact="0" numFmtId="2" outline="0" showAll="0"/>
    <pivotField compact="0" numFmtId="2" outline="0" showAll="0"/>
    <pivotField compact="0" numFmtId="2" outline="0" showAll="0"/>
    <pivotField axis="axisRow" compact="0" outline="0" showAll="0">
      <items count="7">
        <item x="0"/>
        <item x="1"/>
        <item x="2"/>
        <item x="3"/>
        <item x="4"/>
        <item x="5"/>
        <item t="default"/>
      </items>
    </pivotField>
    <pivotField compact="0" outline="0" showAll="0"/>
    <pivotField compact="0" outline="0" showAll="0"/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Users" fld="1" baseField="0" baseItem="0" numFmtId="2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Source1" xr10:uid="{B72B4B23-0BE2-4FEC-83F0-810467555BB0}" sourceName="Source">
  <pivotTables>
    <pivotTable tabId="3" name="PivotTable1"/>
    <pivotTable tabId="5" name="PivotTable8"/>
    <pivotTable tabId="3" name="PivotTable7"/>
    <pivotTable tabId="3" name="PivotTable9"/>
    <pivotTable tabId="3" name="PivotTable8"/>
    <pivotTable tabId="4" name="PivotTable7"/>
  </pivotTables>
  <data>
    <tabular pivotCacheId="1089460820">
      <items count="4">
        <i x="1" s="1"/>
        <i x="0" s="1"/>
        <i x="2" s="1"/>
        <i x="3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Device1" xr10:uid="{86B323DF-5D13-4D86-BFC7-31C37D2754B8}" sourceName="Device">
  <pivotTables>
    <pivotTable tabId="3" name="PivotTable1"/>
    <pivotTable tabId="5" name="PivotTable8"/>
    <pivotTable tabId="3" name="PivotTable7"/>
    <pivotTable tabId="3" name="PivotTable9"/>
    <pivotTable tabId="3" name="PivotTable8"/>
    <pivotTable tabId="4" name="PivotTable7"/>
  </pivotTables>
  <data>
    <tabular pivotCacheId="1089460820">
      <items count="2">
        <i x="1" s="1"/>
        <i x="0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Month1" xr10:uid="{22B70B92-0BB5-4F1B-8666-FA8C2A5974A9}" sourceName="Month">
  <pivotTables>
    <pivotTable tabId="3" name="PivotTable1"/>
    <pivotTable tabId="5" name="PivotTable8"/>
    <pivotTable tabId="3" name="PivotTable7"/>
    <pivotTable tabId="3" name="PivotTable9"/>
    <pivotTable tabId="3" name="PivotTable8"/>
    <pivotTable tabId="4" name="PivotTable7"/>
  </pivotTables>
  <data>
    <tabular pivotCacheId="1089460820">
      <items count="6">
        <i x="0" s="1"/>
        <i x="1" s="1"/>
        <i x="2" s="1"/>
        <i x="3" s="1"/>
        <i x="4" s="1"/>
        <i x="5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ource 1" xr10:uid="{E186639A-47AC-4E59-B077-BCA5E668784B}" cache="Slicer_Source1" caption="Source" rowHeight="228600"/>
  <slicer name="Device 1" xr10:uid="{67A51709-5770-40EA-8B37-AC6F5E67CCDE}" cache="Slicer_Device1" caption="Device" rowHeight="228600"/>
  <slicer name="Month 1" xr10:uid="{1D855768-A18D-4272-B5FB-78E9480770E3}" cache="Slicer_Month1" caption="Month" rowHeight="2286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ource" xr10:uid="{57491792-F697-437D-AB90-A3E58B9FFEBE}" cache="Slicer_Source1" caption="Source" rowHeight="228600"/>
  <slicer name="Device" xr10:uid="{EB5F3DF7-BA10-4A30-BCAE-12B7F2EA453E}" cache="Slicer_Device1" caption="Device" rowHeight="228600"/>
  <slicer name="Month" xr10:uid="{C29298E5-0AB8-4BAD-B02D-BCC38FCE653B}" cache="Slicer_Month1" caption="Month" rowHeight="22860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ource 2" xr10:uid="{E791D9A1-9F89-41C8-ABDE-E974AA724EAE}" cache="Slicer_Source1" caption="Source" rowHeight="228600"/>
  <slicer name="Device 2" xr10:uid="{C81C373F-2FC6-446C-A19A-E08AD070FE10}" cache="Slicer_Device1" caption="Device" rowHeight="228600"/>
  <slicer name="Month 2" xr10:uid="{5F043E7C-5EEA-40C9-945B-1385388FDCA6}" cache="Slicer_Month1" caption="Month" rowHeight="2286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microsoft.com/office/2007/relationships/slicer" Target="../slicers/slicer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5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3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8"/>
  <sheetViews>
    <sheetView tabSelected="1" workbookViewId="0">
      <selection activeCell="K1" sqref="K1:K1048576"/>
    </sheetView>
  </sheetViews>
  <sheetFormatPr defaultRowHeight="15"/>
  <cols>
    <col min="1" max="1" width="10.85546875" style="2" bestFit="1" customWidth="1"/>
    <col min="2" max="2" width="9.140625" style="3"/>
    <col min="3" max="3" width="11" style="3" customWidth="1"/>
    <col min="4" max="5" width="11" customWidth="1"/>
    <col min="6" max="6" width="13.28515625" style="3" customWidth="1"/>
    <col min="7" max="7" width="17.7109375" style="3" customWidth="1"/>
    <col min="8" max="8" width="11.7109375" style="3" customWidth="1"/>
    <col min="10" max="10" width="14.42578125" bestFit="1" customWidth="1"/>
    <col min="11" max="11" width="15.140625" style="3" bestFit="1" customWidth="1"/>
  </cols>
  <sheetData>
    <row r="1" spans="1:11">
      <c r="A1" s="1" t="s">
        <v>0</v>
      </c>
      <c r="B1" s="3" t="s">
        <v>1</v>
      </c>
      <c r="C1" s="3" t="s">
        <v>2</v>
      </c>
      <c r="D1" t="s">
        <v>3</v>
      </c>
      <c r="E1" t="s">
        <v>4</v>
      </c>
      <c r="F1" s="3" t="s">
        <v>5</v>
      </c>
      <c r="G1" s="3" t="s">
        <v>6</v>
      </c>
      <c r="H1" s="3" t="s">
        <v>7</v>
      </c>
      <c r="I1" t="s">
        <v>8</v>
      </c>
      <c r="J1" t="s">
        <v>9</v>
      </c>
      <c r="K1" s="3" t="s">
        <v>10</v>
      </c>
    </row>
    <row r="2" spans="1:11">
      <c r="A2" s="1">
        <v>45292</v>
      </c>
      <c r="B2" s="3">
        <v>120</v>
      </c>
      <c r="C2" s="3">
        <v>150</v>
      </c>
      <c r="D2" t="s">
        <v>11</v>
      </c>
      <c r="E2" t="s">
        <v>12</v>
      </c>
      <c r="F2" s="3">
        <v>65</v>
      </c>
      <c r="G2" s="3">
        <v>2.1</v>
      </c>
      <c r="H2" s="3">
        <v>5</v>
      </c>
      <c r="I2" t="str">
        <f>TEXT(A2,"mmm")</f>
        <v>Jan</v>
      </c>
      <c r="J2">
        <f>MONTH(A2)</f>
        <v>1</v>
      </c>
      <c r="K2" s="3">
        <f>H2/C2</f>
        <v>3.3333333333333333E-2</v>
      </c>
    </row>
    <row r="3" spans="1:11">
      <c r="A3" s="1">
        <v>45296</v>
      </c>
      <c r="B3" s="3">
        <v>170</v>
      </c>
      <c r="C3" s="3">
        <v>210</v>
      </c>
      <c r="D3" t="s">
        <v>11</v>
      </c>
      <c r="E3" t="s">
        <v>13</v>
      </c>
      <c r="F3" s="3">
        <v>60</v>
      </c>
      <c r="G3" s="3">
        <v>2.5</v>
      </c>
      <c r="H3" s="3">
        <v>8</v>
      </c>
      <c r="I3" t="str">
        <f>TEXT(A3,"mmm")</f>
        <v>Jan</v>
      </c>
      <c r="J3">
        <f>MONTH(A3)</f>
        <v>1</v>
      </c>
      <c r="K3" s="3">
        <f>H3/C3</f>
        <v>3.8095238095238099E-2</v>
      </c>
    </row>
    <row r="4" spans="1:11">
      <c r="A4" s="1">
        <v>45301</v>
      </c>
      <c r="B4" s="3">
        <v>140</v>
      </c>
      <c r="C4" s="3">
        <v>170</v>
      </c>
      <c r="D4" t="s">
        <v>14</v>
      </c>
      <c r="E4" t="s">
        <v>12</v>
      </c>
      <c r="F4" s="3">
        <v>57</v>
      </c>
      <c r="G4" s="3">
        <v>3</v>
      </c>
      <c r="H4" s="3">
        <v>6</v>
      </c>
      <c r="I4" t="str">
        <f>TEXT(A4,"mmm")</f>
        <v>Jan</v>
      </c>
      <c r="J4">
        <f>MONTH(A4)</f>
        <v>1</v>
      </c>
      <c r="K4" s="3">
        <f>H4/C4</f>
        <v>3.5294117647058823E-2</v>
      </c>
    </row>
    <row r="5" spans="1:11">
      <c r="A5" s="1">
        <v>45306</v>
      </c>
      <c r="B5" s="3">
        <v>175</v>
      </c>
      <c r="C5" s="3">
        <v>210</v>
      </c>
      <c r="D5" t="s">
        <v>14</v>
      </c>
      <c r="E5" t="s">
        <v>13</v>
      </c>
      <c r="F5" s="3">
        <v>56</v>
      </c>
      <c r="G5" s="3">
        <v>3.1</v>
      </c>
      <c r="H5" s="3">
        <v>9</v>
      </c>
      <c r="I5" t="str">
        <f>TEXT(A5,"mmm")</f>
        <v>Jan</v>
      </c>
      <c r="J5">
        <f>MONTH(A5)</f>
        <v>1</v>
      </c>
      <c r="K5" s="3">
        <f>H5/C5</f>
        <v>4.2857142857142858E-2</v>
      </c>
    </row>
    <row r="6" spans="1:11">
      <c r="A6" s="1">
        <v>45311</v>
      </c>
      <c r="B6" s="3">
        <v>270</v>
      </c>
      <c r="C6" s="3">
        <v>320</v>
      </c>
      <c r="D6" t="s">
        <v>11</v>
      </c>
      <c r="E6" t="s">
        <v>12</v>
      </c>
      <c r="F6" s="3">
        <v>65</v>
      </c>
      <c r="G6" s="3">
        <v>2.1</v>
      </c>
      <c r="H6" s="3">
        <v>12</v>
      </c>
      <c r="I6" t="str">
        <f>TEXT(A6,"mmm")</f>
        <v>Jan</v>
      </c>
      <c r="J6">
        <f>MONTH(A6)</f>
        <v>1</v>
      </c>
      <c r="K6" s="3">
        <f>H6/C6</f>
        <v>3.7499999999999999E-2</v>
      </c>
    </row>
    <row r="7" spans="1:11">
      <c r="A7" s="1">
        <v>45316</v>
      </c>
      <c r="B7" s="3">
        <v>310</v>
      </c>
      <c r="C7" s="3">
        <v>370</v>
      </c>
      <c r="D7" t="s">
        <v>15</v>
      </c>
      <c r="E7" t="s">
        <v>13</v>
      </c>
      <c r="F7" s="3">
        <v>76</v>
      </c>
      <c r="G7" s="3">
        <v>1.4</v>
      </c>
      <c r="H7" s="3">
        <v>7</v>
      </c>
      <c r="I7" t="str">
        <f>TEXT(A7,"mmm")</f>
        <v>Jan</v>
      </c>
      <c r="J7">
        <f>MONTH(A7)</f>
        <v>1</v>
      </c>
      <c r="K7" s="3">
        <f>H7/C7</f>
        <v>1.891891891891892E-2</v>
      </c>
    </row>
    <row r="8" spans="1:11">
      <c r="A8" s="1">
        <v>45321</v>
      </c>
      <c r="B8" s="3">
        <v>350</v>
      </c>
      <c r="C8" s="3">
        <v>410</v>
      </c>
      <c r="D8" t="s">
        <v>15</v>
      </c>
      <c r="E8" t="s">
        <v>12</v>
      </c>
      <c r="F8" s="3">
        <v>75</v>
      </c>
      <c r="G8" s="3">
        <v>1.5</v>
      </c>
      <c r="H8" s="3">
        <v>9</v>
      </c>
      <c r="I8" t="str">
        <f>TEXT(A8,"mmm")</f>
        <v>Jan</v>
      </c>
      <c r="J8">
        <f>MONTH(A8)</f>
        <v>1</v>
      </c>
      <c r="K8" s="3">
        <f>H8/C8</f>
        <v>2.1951219512195121E-2</v>
      </c>
    </row>
    <row r="9" spans="1:11">
      <c r="A9" s="1">
        <v>45323</v>
      </c>
      <c r="B9" s="3">
        <v>360</v>
      </c>
      <c r="C9" s="3">
        <v>420</v>
      </c>
      <c r="D9" t="s">
        <v>16</v>
      </c>
      <c r="E9" t="s">
        <v>12</v>
      </c>
      <c r="F9" s="3">
        <v>62</v>
      </c>
      <c r="G9" s="3">
        <v>2.5</v>
      </c>
      <c r="H9" s="3">
        <v>12</v>
      </c>
      <c r="I9" t="str">
        <f>TEXT(A9,"mmm")</f>
        <v>Feb</v>
      </c>
      <c r="J9">
        <f>MONTH(A9)</f>
        <v>2</v>
      </c>
      <c r="K9" s="3">
        <f>H9/C9</f>
        <v>2.8571428571428571E-2</v>
      </c>
    </row>
    <row r="10" spans="1:11">
      <c r="A10" s="1">
        <v>45327</v>
      </c>
      <c r="B10" s="3">
        <v>390</v>
      </c>
      <c r="C10" s="3">
        <v>450</v>
      </c>
      <c r="D10" t="s">
        <v>11</v>
      </c>
      <c r="E10" t="s">
        <v>13</v>
      </c>
      <c r="F10" s="3">
        <v>65</v>
      </c>
      <c r="G10" s="3">
        <v>2.2000000000000002</v>
      </c>
      <c r="H10" s="3">
        <v>14</v>
      </c>
      <c r="I10" t="str">
        <f>TEXT(A10,"mmm")</f>
        <v>Feb</v>
      </c>
      <c r="J10">
        <f>MONTH(A10)</f>
        <v>2</v>
      </c>
      <c r="K10" s="3">
        <f>H10/C10</f>
        <v>3.111111111111111E-2</v>
      </c>
    </row>
    <row r="11" spans="1:11">
      <c r="A11" s="1">
        <v>45332</v>
      </c>
      <c r="B11" s="3">
        <v>460</v>
      </c>
      <c r="C11" s="3">
        <v>530</v>
      </c>
      <c r="D11" t="s">
        <v>16</v>
      </c>
      <c r="E11" t="s">
        <v>13</v>
      </c>
      <c r="F11" s="3">
        <v>61</v>
      </c>
      <c r="G11" s="3">
        <v>2.6</v>
      </c>
      <c r="H11" s="3">
        <v>14</v>
      </c>
      <c r="I11" t="str">
        <f>TEXT(A11,"mmm")</f>
        <v>Feb</v>
      </c>
      <c r="J11">
        <f>MONTH(A11)</f>
        <v>2</v>
      </c>
      <c r="K11" s="3">
        <f>H11/C11</f>
        <v>2.6415094339622643E-2</v>
      </c>
    </row>
    <row r="12" spans="1:11">
      <c r="A12" s="1">
        <v>45337</v>
      </c>
      <c r="B12" s="3">
        <v>420</v>
      </c>
      <c r="C12" s="3">
        <v>500</v>
      </c>
      <c r="D12" t="s">
        <v>15</v>
      </c>
      <c r="E12" t="s">
        <v>12</v>
      </c>
      <c r="F12" s="3">
        <v>76</v>
      </c>
      <c r="G12" s="3">
        <v>1.6</v>
      </c>
      <c r="H12" s="3">
        <v>10</v>
      </c>
      <c r="I12" t="str">
        <f>TEXT(A12,"mmm")</f>
        <v>Feb</v>
      </c>
      <c r="J12">
        <f>MONTH(A12)</f>
        <v>2</v>
      </c>
      <c r="K12" s="3">
        <f>H12/C12</f>
        <v>0.02</v>
      </c>
    </row>
    <row r="13" spans="1:11">
      <c r="A13" s="1">
        <v>45342</v>
      </c>
      <c r="B13" s="3">
        <v>480</v>
      </c>
      <c r="C13" s="3">
        <v>550</v>
      </c>
      <c r="D13" t="s">
        <v>11</v>
      </c>
      <c r="E13" t="s">
        <v>12</v>
      </c>
      <c r="F13" s="3">
        <v>63</v>
      </c>
      <c r="G13" s="3">
        <v>2.2999999999999998</v>
      </c>
      <c r="H13" s="3">
        <v>15</v>
      </c>
      <c r="I13" t="str">
        <f>TEXT(A13,"mmm")</f>
        <v>Feb</v>
      </c>
      <c r="J13">
        <f>MONTH(A13)</f>
        <v>2</v>
      </c>
      <c r="K13" s="3">
        <f>H13/C13</f>
        <v>2.7272727272727271E-2</v>
      </c>
    </row>
    <row r="14" spans="1:11">
      <c r="A14" s="1">
        <v>45347</v>
      </c>
      <c r="B14" s="3">
        <v>500</v>
      </c>
      <c r="C14" s="3">
        <v>580</v>
      </c>
      <c r="D14" t="s">
        <v>14</v>
      </c>
      <c r="E14" t="s">
        <v>13</v>
      </c>
      <c r="F14" s="3">
        <v>59</v>
      </c>
      <c r="G14" s="3">
        <v>3</v>
      </c>
      <c r="H14" s="3">
        <v>13</v>
      </c>
      <c r="I14" t="str">
        <f>TEXT(A14,"mmm")</f>
        <v>Feb</v>
      </c>
      <c r="J14">
        <f>MONTH(A14)</f>
        <v>2</v>
      </c>
      <c r="K14" s="3">
        <f>H14/C14</f>
        <v>2.2413793103448276E-2</v>
      </c>
    </row>
    <row r="15" spans="1:11">
      <c r="A15" s="1">
        <v>45350</v>
      </c>
      <c r="B15" s="3">
        <v>520</v>
      </c>
      <c r="C15" s="3">
        <v>600</v>
      </c>
      <c r="D15" t="s">
        <v>15</v>
      </c>
      <c r="E15" t="s">
        <v>13</v>
      </c>
      <c r="F15" s="3">
        <v>77</v>
      </c>
      <c r="G15" s="3">
        <v>1.4</v>
      </c>
      <c r="H15" s="3">
        <v>11</v>
      </c>
      <c r="I15" t="str">
        <f>TEXT(A15,"mmm")</f>
        <v>Feb</v>
      </c>
      <c r="J15">
        <f>MONTH(A15)</f>
        <v>2</v>
      </c>
      <c r="K15" s="3">
        <f>H15/C15</f>
        <v>1.8333333333333333E-2</v>
      </c>
    </row>
    <row r="16" spans="1:11">
      <c r="A16" s="1">
        <v>45352</v>
      </c>
      <c r="B16" s="3">
        <v>540</v>
      </c>
      <c r="C16" s="3">
        <v>620</v>
      </c>
      <c r="D16" t="s">
        <v>11</v>
      </c>
      <c r="E16" t="s">
        <v>12</v>
      </c>
      <c r="F16" s="3">
        <v>64</v>
      </c>
      <c r="G16" s="3">
        <v>2.2000000000000002</v>
      </c>
      <c r="H16" s="3">
        <v>16</v>
      </c>
      <c r="I16" t="str">
        <f>TEXT(A16,"mmm")</f>
        <v>Mar</v>
      </c>
      <c r="J16">
        <f>MONTH(A16)</f>
        <v>3</v>
      </c>
      <c r="K16" s="3">
        <f>H16/C16</f>
        <v>2.5806451612903226E-2</v>
      </c>
    </row>
    <row r="17" spans="1:11">
      <c r="A17" s="1">
        <v>45356</v>
      </c>
      <c r="B17" s="3">
        <v>560</v>
      </c>
      <c r="C17" s="3">
        <v>650</v>
      </c>
      <c r="D17" t="s">
        <v>16</v>
      </c>
      <c r="E17" t="s">
        <v>13</v>
      </c>
      <c r="F17" s="3">
        <v>60</v>
      </c>
      <c r="G17" s="3">
        <v>2.7</v>
      </c>
      <c r="H17" s="3">
        <v>15</v>
      </c>
      <c r="I17" t="str">
        <f>TEXT(A17,"mmm")</f>
        <v>Mar</v>
      </c>
      <c r="J17">
        <f>MONTH(A17)</f>
        <v>3</v>
      </c>
      <c r="K17" s="3">
        <f>H17/C17</f>
        <v>2.3076923076923078E-2</v>
      </c>
    </row>
    <row r="18" spans="1:11">
      <c r="A18" s="1">
        <v>45361</v>
      </c>
      <c r="B18" s="3">
        <v>600</v>
      </c>
      <c r="C18" s="3">
        <v>700</v>
      </c>
      <c r="D18" t="s">
        <v>15</v>
      </c>
      <c r="E18" t="s">
        <v>12</v>
      </c>
      <c r="F18" s="3">
        <v>75</v>
      </c>
      <c r="G18" s="3">
        <v>1.5</v>
      </c>
      <c r="H18" s="3">
        <v>12</v>
      </c>
      <c r="I18" t="str">
        <f>TEXT(A18,"mmm")</f>
        <v>Mar</v>
      </c>
      <c r="J18">
        <f>MONTH(A18)</f>
        <v>3</v>
      </c>
      <c r="K18" s="3">
        <f>H18/C18</f>
        <v>1.7142857142857144E-2</v>
      </c>
    </row>
    <row r="19" spans="1:11">
      <c r="A19" s="1">
        <v>45366</v>
      </c>
      <c r="B19" s="3">
        <v>580</v>
      </c>
      <c r="C19" s="3">
        <v>680</v>
      </c>
      <c r="D19" t="s">
        <v>14</v>
      </c>
      <c r="E19" t="s">
        <v>13</v>
      </c>
      <c r="F19" s="3">
        <v>58</v>
      </c>
      <c r="G19" s="3">
        <v>3.1</v>
      </c>
      <c r="H19" s="3">
        <v>14</v>
      </c>
      <c r="I19" t="str">
        <f>TEXT(A19,"mmm")</f>
        <v>Mar</v>
      </c>
      <c r="J19">
        <f>MONTH(A19)</f>
        <v>3</v>
      </c>
      <c r="K19" s="3">
        <f>H19/C19</f>
        <v>2.0588235294117647E-2</v>
      </c>
    </row>
    <row r="20" spans="1:11">
      <c r="A20" s="1">
        <v>45371</v>
      </c>
      <c r="B20" s="3">
        <v>620</v>
      </c>
      <c r="C20" s="3">
        <v>720</v>
      </c>
      <c r="D20" t="s">
        <v>11</v>
      </c>
      <c r="E20" t="s">
        <v>12</v>
      </c>
      <c r="F20" s="3">
        <v>63</v>
      </c>
      <c r="G20" s="3">
        <v>2.4</v>
      </c>
      <c r="H20" s="3">
        <v>18</v>
      </c>
      <c r="I20" t="str">
        <f>TEXT(A20,"mmm")</f>
        <v>Mar</v>
      </c>
      <c r="J20">
        <f>MONTH(A20)</f>
        <v>3</v>
      </c>
      <c r="K20" s="3">
        <f>H20/C20</f>
        <v>2.5000000000000001E-2</v>
      </c>
    </row>
    <row r="21" spans="1:11">
      <c r="A21" s="1">
        <v>45376</v>
      </c>
      <c r="B21" s="3">
        <v>650</v>
      </c>
      <c r="C21" s="3">
        <v>750</v>
      </c>
      <c r="D21" t="s">
        <v>15</v>
      </c>
      <c r="E21" t="s">
        <v>13</v>
      </c>
      <c r="F21" s="3">
        <v>76</v>
      </c>
      <c r="G21" s="3">
        <v>1.4</v>
      </c>
      <c r="H21" s="3">
        <v>13</v>
      </c>
      <c r="I21" t="str">
        <f>TEXT(A21,"mmm")</f>
        <v>Mar</v>
      </c>
      <c r="J21">
        <f>MONTH(A21)</f>
        <v>3</v>
      </c>
      <c r="K21" s="3">
        <f>H21/C21</f>
        <v>1.7333333333333333E-2</v>
      </c>
    </row>
    <row r="22" spans="1:11">
      <c r="A22" s="1">
        <v>45381</v>
      </c>
      <c r="B22" s="3">
        <v>700</v>
      </c>
      <c r="C22" s="3">
        <v>800</v>
      </c>
      <c r="D22" t="s">
        <v>16</v>
      </c>
      <c r="E22" t="s">
        <v>12</v>
      </c>
      <c r="F22" s="3">
        <v>61</v>
      </c>
      <c r="G22" s="3">
        <v>2.6</v>
      </c>
      <c r="H22" s="3">
        <v>17</v>
      </c>
      <c r="I22" t="str">
        <f>TEXT(A22,"mmm")</f>
        <v>Mar</v>
      </c>
      <c r="J22">
        <f>MONTH(A22)</f>
        <v>3</v>
      </c>
      <c r="K22" s="3">
        <f>H22/C22</f>
        <v>2.1250000000000002E-2</v>
      </c>
    </row>
    <row r="23" spans="1:11">
      <c r="A23" s="1">
        <v>45383</v>
      </c>
      <c r="B23" s="3">
        <v>720</v>
      </c>
      <c r="C23" s="3">
        <v>820</v>
      </c>
      <c r="D23" t="s">
        <v>11</v>
      </c>
      <c r="E23" t="s">
        <v>13</v>
      </c>
      <c r="F23" s="3">
        <v>62</v>
      </c>
      <c r="G23" s="3">
        <v>2.5</v>
      </c>
      <c r="H23" s="3">
        <v>19</v>
      </c>
      <c r="I23" t="str">
        <f>TEXT(A23,"mmm")</f>
        <v>Apr</v>
      </c>
      <c r="J23">
        <f>MONTH(A23)</f>
        <v>4</v>
      </c>
      <c r="K23" s="3">
        <f>H23/C23</f>
        <v>2.3170731707317073E-2</v>
      </c>
    </row>
    <row r="24" spans="1:11">
      <c r="A24" s="1">
        <v>45387</v>
      </c>
      <c r="B24" s="3">
        <v>750</v>
      </c>
      <c r="C24" s="3">
        <v>850</v>
      </c>
      <c r="D24" t="s">
        <v>15</v>
      </c>
      <c r="E24" t="s">
        <v>12</v>
      </c>
      <c r="F24" s="3">
        <v>77</v>
      </c>
      <c r="G24" s="3">
        <v>1.3</v>
      </c>
      <c r="H24" s="3">
        <v>14</v>
      </c>
      <c r="I24" t="str">
        <f>TEXT(A24,"mmm")</f>
        <v>Apr</v>
      </c>
      <c r="J24">
        <f>MONTH(A24)</f>
        <v>4</v>
      </c>
      <c r="K24" s="3">
        <f>H24/C24</f>
        <v>1.6470588235294119E-2</v>
      </c>
    </row>
    <row r="25" spans="1:11">
      <c r="A25" s="1">
        <v>45392</v>
      </c>
      <c r="B25" s="3">
        <v>780</v>
      </c>
      <c r="C25" s="3">
        <v>880</v>
      </c>
      <c r="D25" t="s">
        <v>16</v>
      </c>
      <c r="E25" t="s">
        <v>13</v>
      </c>
      <c r="F25" s="3">
        <v>60</v>
      </c>
      <c r="G25" s="3">
        <v>2.7</v>
      </c>
      <c r="H25" s="3">
        <v>18</v>
      </c>
      <c r="I25" t="str">
        <f>TEXT(A25,"mmm")</f>
        <v>Apr</v>
      </c>
      <c r="J25">
        <f>MONTH(A25)</f>
        <v>4</v>
      </c>
      <c r="K25" s="3">
        <f>H25/C25</f>
        <v>2.0454545454545454E-2</v>
      </c>
    </row>
    <row r="26" spans="1:11">
      <c r="A26" s="1">
        <v>45397</v>
      </c>
      <c r="B26" s="3">
        <v>800</v>
      </c>
      <c r="C26" s="3">
        <v>900</v>
      </c>
      <c r="D26" t="s">
        <v>14</v>
      </c>
      <c r="E26" t="s">
        <v>12</v>
      </c>
      <c r="F26" s="3">
        <v>57</v>
      </c>
      <c r="G26" s="3">
        <v>3.2</v>
      </c>
      <c r="H26" s="3">
        <v>16</v>
      </c>
      <c r="I26" t="str">
        <f>TEXT(A26,"mmm")</f>
        <v>Apr</v>
      </c>
      <c r="J26">
        <f>MONTH(A26)</f>
        <v>4</v>
      </c>
      <c r="K26" s="3">
        <f>H26/C26</f>
        <v>1.7777777777777778E-2</v>
      </c>
    </row>
    <row r="27" spans="1:11">
      <c r="A27" s="1">
        <v>45402</v>
      </c>
      <c r="B27" s="3">
        <v>830</v>
      </c>
      <c r="C27" s="3">
        <v>930</v>
      </c>
      <c r="D27" t="s">
        <v>11</v>
      </c>
      <c r="E27" t="s">
        <v>12</v>
      </c>
      <c r="F27" s="3">
        <v>64</v>
      </c>
      <c r="G27" s="3">
        <v>2.2999999999999998</v>
      </c>
      <c r="H27" s="3">
        <v>20</v>
      </c>
      <c r="I27" t="str">
        <f>TEXT(A27,"mmm")</f>
        <v>Apr</v>
      </c>
      <c r="J27">
        <f>MONTH(A27)</f>
        <v>4</v>
      </c>
      <c r="K27" s="3">
        <f>H27/C27</f>
        <v>2.1505376344086023E-2</v>
      </c>
    </row>
    <row r="28" spans="1:11">
      <c r="A28" s="1">
        <v>45407</v>
      </c>
      <c r="B28" s="3">
        <v>860</v>
      </c>
      <c r="C28" s="3">
        <v>960</v>
      </c>
      <c r="D28" t="s">
        <v>15</v>
      </c>
      <c r="E28" t="s">
        <v>13</v>
      </c>
      <c r="F28" s="3">
        <v>75</v>
      </c>
      <c r="G28" s="3">
        <v>1.5</v>
      </c>
      <c r="H28" s="3">
        <v>15</v>
      </c>
      <c r="I28" t="str">
        <f>TEXT(A28,"mmm")</f>
        <v>Apr</v>
      </c>
      <c r="J28">
        <f>MONTH(A28)</f>
        <v>4</v>
      </c>
      <c r="K28" s="3">
        <f>H28/C28</f>
        <v>1.5625E-2</v>
      </c>
    </row>
    <row r="29" spans="1:11">
      <c r="A29" s="1">
        <v>45412</v>
      </c>
      <c r="B29" s="3">
        <v>900</v>
      </c>
      <c r="C29" s="3">
        <v>1000</v>
      </c>
      <c r="D29" t="s">
        <v>16</v>
      </c>
      <c r="E29" t="s">
        <v>12</v>
      </c>
      <c r="F29" s="3">
        <v>62</v>
      </c>
      <c r="G29" s="3">
        <v>2.6</v>
      </c>
      <c r="H29" s="3">
        <v>21</v>
      </c>
      <c r="I29" t="str">
        <f>TEXT(A29,"mmm")</f>
        <v>Apr</v>
      </c>
      <c r="J29">
        <f>MONTH(A29)</f>
        <v>4</v>
      </c>
      <c r="K29" s="3">
        <f>H29/C29</f>
        <v>2.1000000000000001E-2</v>
      </c>
    </row>
    <row r="30" spans="1:11">
      <c r="A30" s="1">
        <v>45413</v>
      </c>
      <c r="B30" s="3">
        <v>920</v>
      </c>
      <c r="C30" s="3">
        <v>1020</v>
      </c>
      <c r="D30" t="s">
        <v>11</v>
      </c>
      <c r="E30" t="s">
        <v>13</v>
      </c>
      <c r="F30" s="3">
        <v>63</v>
      </c>
      <c r="G30" s="3">
        <v>2.4</v>
      </c>
      <c r="H30" s="3">
        <v>22</v>
      </c>
      <c r="I30" t="str">
        <f>TEXT(A30,"mmm")</f>
        <v>May</v>
      </c>
      <c r="J30">
        <f>MONTH(A30)</f>
        <v>5</v>
      </c>
      <c r="K30" s="3">
        <f>H30/C30</f>
        <v>2.1568627450980392E-2</v>
      </c>
    </row>
    <row r="31" spans="1:11">
      <c r="A31" s="1">
        <v>45417</v>
      </c>
      <c r="B31" s="3">
        <v>950</v>
      </c>
      <c r="C31" s="3">
        <v>1050</v>
      </c>
      <c r="D31" t="s">
        <v>15</v>
      </c>
      <c r="E31" t="s">
        <v>12</v>
      </c>
      <c r="F31" s="3">
        <v>78</v>
      </c>
      <c r="G31" s="3">
        <v>1.3</v>
      </c>
      <c r="H31" s="3">
        <v>16</v>
      </c>
      <c r="I31" t="str">
        <f>TEXT(A31,"mmm")</f>
        <v>May</v>
      </c>
      <c r="J31">
        <f>MONTH(A31)</f>
        <v>5</v>
      </c>
      <c r="K31" s="3">
        <f>H31/C31</f>
        <v>1.5238095238095238E-2</v>
      </c>
    </row>
    <row r="32" spans="1:11">
      <c r="A32" s="1">
        <v>45422</v>
      </c>
      <c r="B32" s="3">
        <v>980</v>
      </c>
      <c r="C32" s="3">
        <v>1080</v>
      </c>
      <c r="D32" t="s">
        <v>16</v>
      </c>
      <c r="E32" t="s">
        <v>13</v>
      </c>
      <c r="F32" s="3">
        <v>61</v>
      </c>
      <c r="G32" s="3">
        <v>2.8</v>
      </c>
      <c r="H32" s="3">
        <v>20</v>
      </c>
      <c r="I32" t="str">
        <f>TEXT(A32,"mmm")</f>
        <v>May</v>
      </c>
      <c r="J32">
        <f>MONTH(A32)</f>
        <v>5</v>
      </c>
      <c r="K32" s="3">
        <f>H32/C32</f>
        <v>1.8518518518518517E-2</v>
      </c>
    </row>
    <row r="33" spans="1:11">
      <c r="A33" s="1">
        <v>45427</v>
      </c>
      <c r="B33" s="3">
        <v>1000</v>
      </c>
      <c r="C33" s="3">
        <v>1100</v>
      </c>
      <c r="D33" t="s">
        <v>14</v>
      </c>
      <c r="E33" t="s">
        <v>12</v>
      </c>
      <c r="F33" s="3">
        <v>58</v>
      </c>
      <c r="G33" s="3">
        <v>3.1</v>
      </c>
      <c r="H33" s="3">
        <v>18</v>
      </c>
      <c r="I33" t="str">
        <f>TEXT(A33,"mmm")</f>
        <v>May</v>
      </c>
      <c r="J33">
        <f>MONTH(A33)</f>
        <v>5</v>
      </c>
      <c r="K33" s="3">
        <f>H33/C33</f>
        <v>1.6363636363636365E-2</v>
      </c>
    </row>
    <row r="34" spans="1:11">
      <c r="A34" s="1">
        <v>45432</v>
      </c>
      <c r="B34" s="3">
        <v>1050</v>
      </c>
      <c r="C34" s="3">
        <v>1150</v>
      </c>
      <c r="D34" t="s">
        <v>11</v>
      </c>
      <c r="E34" t="s">
        <v>12</v>
      </c>
      <c r="F34" s="3">
        <v>64</v>
      </c>
      <c r="G34" s="3">
        <v>2.2999999999999998</v>
      </c>
      <c r="H34" s="3">
        <v>24</v>
      </c>
      <c r="I34" t="str">
        <f>TEXT(A34,"mmm")</f>
        <v>May</v>
      </c>
      <c r="J34">
        <f>MONTH(A34)</f>
        <v>5</v>
      </c>
      <c r="K34" s="3">
        <f>H34/C34</f>
        <v>2.0869565217391306E-2</v>
      </c>
    </row>
    <row r="35" spans="1:11">
      <c r="A35" s="1">
        <v>45437</v>
      </c>
      <c r="B35" s="3">
        <v>1100</v>
      </c>
      <c r="C35" s="3">
        <v>1200</v>
      </c>
      <c r="D35" t="s">
        <v>15</v>
      </c>
      <c r="E35" t="s">
        <v>13</v>
      </c>
      <c r="F35" s="3">
        <v>76</v>
      </c>
      <c r="G35" s="3">
        <v>1.4</v>
      </c>
      <c r="H35" s="3">
        <v>19</v>
      </c>
      <c r="I35" t="str">
        <f>TEXT(A35,"mmm")</f>
        <v>May</v>
      </c>
      <c r="J35">
        <f>MONTH(A35)</f>
        <v>5</v>
      </c>
      <c r="K35" s="3">
        <f>H35/C35</f>
        <v>1.5833333333333335E-2</v>
      </c>
    </row>
    <row r="36" spans="1:11">
      <c r="A36" s="1">
        <v>45442</v>
      </c>
      <c r="B36" s="3">
        <v>1150</v>
      </c>
      <c r="C36" s="3">
        <v>1250</v>
      </c>
      <c r="D36" t="s">
        <v>16</v>
      </c>
      <c r="E36" t="s">
        <v>12</v>
      </c>
      <c r="F36" s="3">
        <v>62</v>
      </c>
      <c r="G36" s="3">
        <v>2.6</v>
      </c>
      <c r="H36" s="3">
        <v>25</v>
      </c>
      <c r="I36" t="str">
        <f>TEXT(A36,"mmm")</f>
        <v>May</v>
      </c>
      <c r="J36">
        <f>MONTH(A36)</f>
        <v>5</v>
      </c>
      <c r="K36" s="3">
        <f>H36/C36</f>
        <v>0.02</v>
      </c>
    </row>
    <row r="37" spans="1:11">
      <c r="A37" s="1">
        <v>45444</v>
      </c>
      <c r="B37" s="3">
        <v>1200</v>
      </c>
      <c r="C37" s="3">
        <v>1300</v>
      </c>
      <c r="D37" t="s">
        <v>11</v>
      </c>
      <c r="E37" t="s">
        <v>13</v>
      </c>
      <c r="F37" s="3">
        <v>63</v>
      </c>
      <c r="G37" s="3">
        <v>2.5</v>
      </c>
      <c r="H37" s="3">
        <v>26</v>
      </c>
      <c r="I37" t="str">
        <f>TEXT(A37,"mmm")</f>
        <v>Jun</v>
      </c>
      <c r="J37">
        <f>MONTH(A37)</f>
        <v>6</v>
      </c>
      <c r="K37" s="3">
        <f>H37/C37</f>
        <v>0.02</v>
      </c>
    </row>
    <row r="38" spans="1:11">
      <c r="A38" s="1">
        <v>45448</v>
      </c>
      <c r="B38" s="3">
        <v>1250</v>
      </c>
      <c r="C38" s="3">
        <v>1350</v>
      </c>
      <c r="D38" t="s">
        <v>15</v>
      </c>
      <c r="E38" t="s">
        <v>12</v>
      </c>
      <c r="F38" s="3">
        <v>77</v>
      </c>
      <c r="G38" s="3">
        <v>1.3</v>
      </c>
      <c r="H38" s="3">
        <v>20</v>
      </c>
      <c r="I38" t="str">
        <f>TEXT(A38,"mmm")</f>
        <v>Jun</v>
      </c>
      <c r="J38">
        <f>MONTH(A38)</f>
        <v>6</v>
      </c>
      <c r="K38" s="3">
        <f>H38/C38</f>
        <v>1.4814814814814815E-2</v>
      </c>
    </row>
    <row r="39" spans="1:11">
      <c r="A39" s="1">
        <v>45453</v>
      </c>
      <c r="B39" s="3">
        <v>1300</v>
      </c>
      <c r="C39" s="3">
        <v>1400</v>
      </c>
      <c r="D39" t="s">
        <v>16</v>
      </c>
      <c r="E39" t="s">
        <v>13</v>
      </c>
      <c r="F39" s="3">
        <v>60</v>
      </c>
      <c r="G39" s="3">
        <v>2.7</v>
      </c>
      <c r="H39" s="3">
        <v>24</v>
      </c>
      <c r="I39" t="str">
        <f>TEXT(A39,"mmm")</f>
        <v>Jun</v>
      </c>
      <c r="J39">
        <f>MONTH(A39)</f>
        <v>6</v>
      </c>
      <c r="K39" s="3">
        <f>H39/C39</f>
        <v>1.7142857142857144E-2</v>
      </c>
    </row>
    <row r="40" spans="1:11">
      <c r="A40" s="1">
        <v>45458</v>
      </c>
      <c r="B40" s="3">
        <v>1350</v>
      </c>
      <c r="C40" s="3">
        <v>1450</v>
      </c>
      <c r="D40" t="s">
        <v>14</v>
      </c>
      <c r="E40" t="s">
        <v>12</v>
      </c>
      <c r="F40" s="3">
        <v>57</v>
      </c>
      <c r="G40" s="3">
        <v>3.2</v>
      </c>
      <c r="H40" s="3">
        <v>22</v>
      </c>
      <c r="I40" t="str">
        <f>TEXT(A40,"mmm")</f>
        <v>Jun</v>
      </c>
      <c r="J40">
        <f>MONTH(A40)</f>
        <v>6</v>
      </c>
      <c r="K40" s="3">
        <f>H40/C40</f>
        <v>1.5172413793103448E-2</v>
      </c>
    </row>
    <row r="41" spans="1:11">
      <c r="A41" s="1">
        <v>45463</v>
      </c>
      <c r="B41" s="3">
        <v>1400</v>
      </c>
      <c r="C41" s="3">
        <v>1500</v>
      </c>
      <c r="D41" t="s">
        <v>11</v>
      </c>
      <c r="E41" t="s">
        <v>12</v>
      </c>
      <c r="F41" s="3">
        <v>65</v>
      </c>
      <c r="G41" s="3">
        <v>2.2999999999999998</v>
      </c>
      <c r="H41" s="3">
        <v>28</v>
      </c>
      <c r="I41" t="str">
        <f>TEXT(A41,"mmm")</f>
        <v>Jun</v>
      </c>
      <c r="J41">
        <f>MONTH(A41)</f>
        <v>6</v>
      </c>
      <c r="K41" s="3">
        <f>H41/C41</f>
        <v>1.8666666666666668E-2</v>
      </c>
    </row>
    <row r="42" spans="1:11">
      <c r="A42" s="1">
        <v>45468</v>
      </c>
      <c r="B42" s="3">
        <v>1450</v>
      </c>
      <c r="C42" s="3">
        <v>1550</v>
      </c>
      <c r="D42" t="s">
        <v>15</v>
      </c>
      <c r="E42" t="s">
        <v>13</v>
      </c>
      <c r="F42" s="3">
        <v>76</v>
      </c>
      <c r="G42" s="3">
        <v>1.4</v>
      </c>
      <c r="H42" s="3">
        <v>23</v>
      </c>
      <c r="I42" t="str">
        <f>TEXT(A42,"mmm")</f>
        <v>Jun</v>
      </c>
      <c r="J42">
        <f>MONTH(A42)</f>
        <v>6</v>
      </c>
      <c r="K42" s="3">
        <f>H42/C42</f>
        <v>1.4838709677419355E-2</v>
      </c>
    </row>
    <row r="43" spans="1:11">
      <c r="A43" s="1">
        <v>45473</v>
      </c>
      <c r="B43" s="3">
        <v>1500</v>
      </c>
      <c r="C43" s="3">
        <v>1600</v>
      </c>
      <c r="D43" t="s">
        <v>16</v>
      </c>
      <c r="E43" t="s">
        <v>12</v>
      </c>
      <c r="F43" s="3">
        <v>62</v>
      </c>
      <c r="G43" s="3">
        <v>2.6</v>
      </c>
      <c r="H43" s="3">
        <v>30</v>
      </c>
      <c r="I43" t="str">
        <f>TEXT(A43,"mmm")</f>
        <v>Jun</v>
      </c>
      <c r="J43">
        <f>MONTH(A43)</f>
        <v>6</v>
      </c>
      <c r="K43" s="3">
        <f>H43/C43</f>
        <v>1.8749999999999999E-2</v>
      </c>
    </row>
    <row r="45" spans="1:11">
      <c r="A45"/>
      <c r="B45"/>
      <c r="C45"/>
      <c r="F45"/>
      <c r="G45"/>
      <c r="H45"/>
    </row>
    <row r="46" spans="1:11">
      <c r="A46"/>
      <c r="B46"/>
      <c r="C46"/>
      <c r="F46"/>
      <c r="G46"/>
      <c r="H46"/>
    </row>
    <row r="47" spans="1:11">
      <c r="A47"/>
      <c r="B47"/>
      <c r="C47"/>
      <c r="F47"/>
      <c r="G47"/>
      <c r="H47"/>
    </row>
    <row r="48" spans="1:11">
      <c r="A48"/>
      <c r="B48"/>
      <c r="C48"/>
      <c r="F48"/>
      <c r="G48"/>
      <c r="H48"/>
    </row>
  </sheetData>
  <sortState xmlns:xlrd2="http://schemas.microsoft.com/office/spreadsheetml/2017/richdata2" ref="A2:K48">
    <sortCondition ref="A2:A4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19562-8950-4ED4-A6A6-52D364A1A552}">
  <dimension ref="A3:B39"/>
  <sheetViews>
    <sheetView workbookViewId="0">
      <selection activeCell="B29" sqref="B29"/>
    </sheetView>
  </sheetViews>
  <sheetFormatPr defaultRowHeight="15"/>
  <cols>
    <col min="1" max="1" width="11.7109375" bestFit="1" customWidth="1"/>
    <col min="2" max="2" width="22.5703125" bestFit="1" customWidth="1"/>
  </cols>
  <sheetData>
    <row r="3" spans="1:2">
      <c r="A3" s="4" t="s">
        <v>8</v>
      </c>
      <c r="B3" t="s">
        <v>17</v>
      </c>
    </row>
    <row r="4" spans="1:2">
      <c r="A4" t="s">
        <v>18</v>
      </c>
      <c r="B4" s="3">
        <v>1535</v>
      </c>
    </row>
    <row r="5" spans="1:2">
      <c r="A5" t="s">
        <v>19</v>
      </c>
      <c r="B5" s="3">
        <v>3130</v>
      </c>
    </row>
    <row r="6" spans="1:2">
      <c r="A6" t="s">
        <v>20</v>
      </c>
      <c r="B6" s="3">
        <v>4250</v>
      </c>
    </row>
    <row r="7" spans="1:2">
      <c r="A7" t="s">
        <v>21</v>
      </c>
      <c r="B7" s="3">
        <v>5640</v>
      </c>
    </row>
    <row r="8" spans="1:2">
      <c r="A8" t="s">
        <v>22</v>
      </c>
      <c r="B8" s="3">
        <v>7150</v>
      </c>
    </row>
    <row r="9" spans="1:2">
      <c r="A9" t="s">
        <v>23</v>
      </c>
      <c r="B9" s="3">
        <v>9450</v>
      </c>
    </row>
    <row r="10" spans="1:2">
      <c r="A10" t="s">
        <v>24</v>
      </c>
      <c r="B10" s="3">
        <v>31155</v>
      </c>
    </row>
    <row r="14" spans="1:2">
      <c r="A14" s="4" t="s">
        <v>3</v>
      </c>
      <c r="B14" t="s">
        <v>17</v>
      </c>
    </row>
    <row r="15" spans="1:2">
      <c r="A15" t="s">
        <v>14</v>
      </c>
      <c r="B15" s="3">
        <v>4545</v>
      </c>
    </row>
    <row r="16" spans="1:2">
      <c r="A16" t="s">
        <v>11</v>
      </c>
      <c r="B16" s="3">
        <v>8710</v>
      </c>
    </row>
    <row r="17" spans="1:2">
      <c r="A17" t="s">
        <v>15</v>
      </c>
      <c r="B17" s="3">
        <v>9210</v>
      </c>
    </row>
    <row r="18" spans="1:2">
      <c r="A18" t="s">
        <v>16</v>
      </c>
      <c r="B18" s="3">
        <v>8690</v>
      </c>
    </row>
    <row r="19" spans="1:2">
      <c r="A19" t="s">
        <v>24</v>
      </c>
      <c r="B19" s="3">
        <v>31155</v>
      </c>
    </row>
    <row r="25" spans="1:2">
      <c r="A25" s="4" t="s">
        <v>3</v>
      </c>
      <c r="B25" t="s">
        <v>25</v>
      </c>
    </row>
    <row r="26" spans="1:2">
      <c r="A26" t="s">
        <v>14</v>
      </c>
      <c r="B26" s="3">
        <v>14</v>
      </c>
    </row>
    <row r="27" spans="1:2">
      <c r="A27" t="s">
        <v>11</v>
      </c>
      <c r="B27" s="3">
        <v>17.46153846153846</v>
      </c>
    </row>
    <row r="28" spans="1:2">
      <c r="A28" t="s">
        <v>15</v>
      </c>
      <c r="B28" s="3">
        <v>14.083333333333334</v>
      </c>
    </row>
    <row r="29" spans="1:2">
      <c r="A29" t="s">
        <v>16</v>
      </c>
      <c r="B29" s="3">
        <v>19.600000000000001</v>
      </c>
    </row>
    <row r="30" spans="1:2">
      <c r="A30" t="s">
        <v>24</v>
      </c>
      <c r="B30" s="3">
        <v>16.428571428571427</v>
      </c>
    </row>
    <row r="36" spans="1:2">
      <c r="A36" s="4" t="s">
        <v>4</v>
      </c>
      <c r="B36" t="s">
        <v>17</v>
      </c>
    </row>
    <row r="37" spans="1:2">
      <c r="A37" t="s">
        <v>13</v>
      </c>
      <c r="B37" s="3">
        <v>13625</v>
      </c>
    </row>
    <row r="38" spans="1:2">
      <c r="A38" t="s">
        <v>12</v>
      </c>
      <c r="B38" s="3">
        <v>17530</v>
      </c>
    </row>
    <row r="39" spans="1:2">
      <c r="A39" t="s">
        <v>24</v>
      </c>
      <c r="B39" s="3">
        <v>31155</v>
      </c>
    </row>
  </sheetData>
  <pageMargins left="0.7" right="0.7" top="0.75" bottom="0.75" header="0.3" footer="0.3"/>
  <drawing r:id="rId5"/>
  <extLst>
    <ext xmlns:x14="http://schemas.microsoft.com/office/spreadsheetml/2009/9/main" uri="{A8765BA9-456A-4dab-B4F3-ACF838C121DE}">
      <x14:slicerList>
        <x14:slicer r:id="rId6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6BA5A-C43C-4190-A8A5-E6BB81400746}">
  <dimension ref="A1:B6"/>
  <sheetViews>
    <sheetView workbookViewId="0">
      <selection activeCell="A3" sqref="A3"/>
    </sheetView>
  </sheetViews>
  <sheetFormatPr defaultRowHeight="15"/>
  <cols>
    <col min="1" max="1" width="11.7109375" bestFit="1" customWidth="1"/>
    <col min="2" max="2" width="22.42578125" bestFit="1" customWidth="1"/>
    <col min="7" max="7" width="6.7109375" customWidth="1"/>
  </cols>
  <sheetData>
    <row r="1" spans="1:2">
      <c r="A1" s="4" t="s">
        <v>3</v>
      </c>
      <c r="B1" t="s">
        <v>26</v>
      </c>
    </row>
    <row r="2" spans="1:2">
      <c r="A2" t="s">
        <v>14</v>
      </c>
      <c r="B2" s="3">
        <v>57.428571428571431</v>
      </c>
    </row>
    <row r="3" spans="1:2">
      <c r="A3" t="s">
        <v>11</v>
      </c>
      <c r="B3" s="3">
        <v>63.53846153846154</v>
      </c>
    </row>
    <row r="4" spans="1:2">
      <c r="A4" t="s">
        <v>15</v>
      </c>
      <c r="B4" s="3">
        <v>76.166666666666671</v>
      </c>
    </row>
    <row r="5" spans="1:2">
      <c r="A5" t="s">
        <v>16</v>
      </c>
      <c r="B5" s="3">
        <v>61.1</v>
      </c>
    </row>
    <row r="6" spans="1:2">
      <c r="A6" t="s">
        <v>24</v>
      </c>
      <c r="B6" s="3">
        <v>65.547619047619051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2DF80-EAF8-4503-9A32-0AFA58276279}">
  <dimension ref="B2:K9"/>
  <sheetViews>
    <sheetView showGridLines="0" topLeftCell="A3" workbookViewId="0">
      <selection activeCell="H46" sqref="H46"/>
    </sheetView>
  </sheetViews>
  <sheetFormatPr defaultRowHeight="15"/>
  <cols>
    <col min="1" max="1" width="24.7109375" customWidth="1"/>
    <col min="2" max="2" width="18.28515625" customWidth="1"/>
    <col min="3" max="3" width="11.7109375" customWidth="1"/>
    <col min="4" max="4" width="23" customWidth="1"/>
    <col min="5" max="5" width="8.28515625" customWidth="1"/>
    <col min="6" max="6" width="26.140625" customWidth="1"/>
    <col min="7" max="7" width="11.7109375" customWidth="1"/>
    <col min="8" max="8" width="27.28515625" customWidth="1"/>
    <col min="10" max="10" width="11.7109375" bestFit="1" customWidth="1"/>
    <col min="11" max="11" width="12.85546875" bestFit="1" customWidth="1"/>
  </cols>
  <sheetData>
    <row r="2" spans="2:11" ht="26.25">
      <c r="B2" s="7" t="s">
        <v>27</v>
      </c>
      <c r="D2" s="7" t="s">
        <v>28</v>
      </c>
      <c r="F2" s="7" t="s">
        <v>10</v>
      </c>
      <c r="H2" s="7" t="s">
        <v>29</v>
      </c>
      <c r="J2" s="4" t="s">
        <v>8</v>
      </c>
      <c r="K2" t="s">
        <v>17</v>
      </c>
    </row>
    <row r="3" spans="2:11" ht="26.25">
      <c r="B3" s="5">
        <f>SUM(dataset!B:B)</f>
        <v>31155</v>
      </c>
      <c r="D3" s="5">
        <f>SUM(dataset!C:C)</f>
        <v>34730</v>
      </c>
      <c r="F3" s="6">
        <f>SUM(dataset!H:H)/SUM(dataset!C:C)</f>
        <v>1.9867549668874173E-2</v>
      </c>
      <c r="H3" s="5">
        <f>AVERAGE(dataset!F:F)</f>
        <v>65.547619047619051</v>
      </c>
      <c r="J3" t="s">
        <v>18</v>
      </c>
      <c r="K3" s="3">
        <v>1535</v>
      </c>
    </row>
    <row r="4" spans="2:11">
      <c r="J4" t="s">
        <v>19</v>
      </c>
      <c r="K4" s="3">
        <v>3130</v>
      </c>
    </row>
    <row r="5" spans="2:11">
      <c r="J5" t="s">
        <v>20</v>
      </c>
      <c r="K5" s="3">
        <v>4250</v>
      </c>
    </row>
    <row r="6" spans="2:11">
      <c r="J6" t="s">
        <v>21</v>
      </c>
      <c r="K6" s="3">
        <v>5640</v>
      </c>
    </row>
    <row r="7" spans="2:11">
      <c r="J7" t="s">
        <v>22</v>
      </c>
      <c r="K7" s="3">
        <v>7150</v>
      </c>
    </row>
    <row r="8" spans="2:11">
      <c r="J8" t="s">
        <v>23</v>
      </c>
      <c r="K8" s="3">
        <v>9450</v>
      </c>
    </row>
    <row r="9" spans="2:11">
      <c r="J9" t="s">
        <v>24</v>
      </c>
      <c r="K9" s="3">
        <v>31155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2026-04-03T16:04:46Z</dcterms:created>
  <dcterms:modified xsi:type="dcterms:W3CDTF">2026-09-14T10:35:37Z</dcterms:modified>
  <cp:category/>
  <cp:contentStatus/>
</cp:coreProperties>
</file>